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EL-ALBERTO\Documents\AVALIAÇÃO DE RISCO DE ESTUDANTES DAS ESCOLAS MUNICIPAIS NOVO\"/>
    </mc:Choice>
  </mc:AlternateContent>
  <bookViews>
    <workbookView xWindow="0" yWindow="0" windowWidth="24000" windowHeight="8355" activeTab="2"/>
  </bookViews>
  <sheets>
    <sheet name="10 A 14 ANOS" sheetId="10" r:id="rId1"/>
    <sheet name="MATRIZ 10-14" sheetId="11" r:id="rId2"/>
    <sheet name="6 A 9 ANOS" sheetId="9" r:id="rId3"/>
    <sheet name="MATRIZ 6-9" sheetId="12" r:id="rId4"/>
    <sheet name="0 A 5 ANOS" sheetId="8" r:id="rId5"/>
    <sheet name="MATRIZ 0-5" sheetId="3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8" l="1"/>
  <c r="L6" i="8"/>
  <c r="K6" i="8"/>
  <c r="J52" i="10" l="1"/>
  <c r="I52" i="10"/>
  <c r="G52" i="10"/>
  <c r="K51" i="10"/>
  <c r="I50" i="10"/>
  <c r="G50" i="10"/>
  <c r="F50" i="10"/>
  <c r="K50" i="10" s="1"/>
  <c r="K49" i="10"/>
  <c r="K48" i="10"/>
  <c r="K47" i="10"/>
  <c r="K46" i="10"/>
  <c r="K45" i="10"/>
  <c r="K44" i="10"/>
  <c r="K43" i="10"/>
  <c r="K42" i="10"/>
  <c r="K41" i="10"/>
  <c r="J40" i="10"/>
  <c r="I40" i="10"/>
  <c r="G40" i="10"/>
  <c r="F40" i="10"/>
  <c r="K40" i="10" s="1"/>
  <c r="J39" i="10"/>
  <c r="F39" i="10"/>
  <c r="E39" i="10"/>
  <c r="J38" i="10"/>
  <c r="F38" i="10"/>
  <c r="E38" i="10"/>
  <c r="K38" i="10" s="1"/>
  <c r="F37" i="10"/>
  <c r="K37" i="10" s="1"/>
  <c r="F36" i="10"/>
  <c r="E36" i="10"/>
  <c r="F34" i="10"/>
  <c r="K34" i="10" s="1"/>
  <c r="I33" i="10"/>
  <c r="H33" i="10"/>
  <c r="F33" i="10"/>
  <c r="E33" i="10"/>
  <c r="I32" i="10"/>
  <c r="H32" i="10"/>
  <c r="H53" i="10" s="1"/>
  <c r="F32" i="10"/>
  <c r="E32" i="10"/>
  <c r="E31" i="10"/>
  <c r="K31" i="10" s="1"/>
  <c r="K30" i="10"/>
  <c r="K29" i="10"/>
  <c r="E28" i="10"/>
  <c r="K28" i="10" s="1"/>
  <c r="K27" i="10"/>
  <c r="K26" i="10"/>
  <c r="K25" i="10"/>
  <c r="K24" i="10"/>
  <c r="J23" i="10"/>
  <c r="G23" i="10"/>
  <c r="K23" i="10" s="1"/>
  <c r="K22" i="10"/>
  <c r="J21" i="10"/>
  <c r="J53" i="10" s="1"/>
  <c r="J55" i="10" s="1"/>
  <c r="F21" i="10"/>
  <c r="K21" i="10" s="1"/>
  <c r="K20" i="10"/>
  <c r="F19" i="10"/>
  <c r="E19" i="10"/>
  <c r="K19" i="10" s="1"/>
  <c r="F18" i="10"/>
  <c r="K18" i="10" s="1"/>
  <c r="F17" i="10"/>
  <c r="K17" i="10" s="1"/>
  <c r="I16" i="10"/>
  <c r="G16" i="10"/>
  <c r="G53" i="10" s="1"/>
  <c r="G55" i="10" s="1"/>
  <c r="E16" i="10"/>
  <c r="K16" i="10" s="1"/>
  <c r="J15" i="10"/>
  <c r="E15" i="10"/>
  <c r="K15" i="10" s="1"/>
  <c r="K14" i="10"/>
  <c r="K13" i="10"/>
  <c r="K12" i="10"/>
  <c r="F11" i="10"/>
  <c r="E11" i="10"/>
  <c r="K11" i="10" s="1"/>
  <c r="K10" i="10"/>
  <c r="E8" i="10"/>
  <c r="K8" i="10" s="1"/>
  <c r="E7" i="10"/>
  <c r="K7" i="10" s="1"/>
  <c r="K6" i="10"/>
  <c r="H5" i="10"/>
  <c r="E5" i="10"/>
  <c r="K52" i="10" l="1"/>
  <c r="K33" i="10"/>
  <c r="I53" i="10"/>
  <c r="I55" i="10" s="1"/>
  <c r="E53" i="10"/>
  <c r="E54" i="10" s="1"/>
  <c r="K32" i="10"/>
  <c r="L23" i="10" s="1"/>
  <c r="L34" i="10"/>
  <c r="K39" i="10"/>
  <c r="L37" i="10" s="1"/>
  <c r="F53" i="10"/>
  <c r="F55" i="10" s="1"/>
  <c r="K36" i="10"/>
  <c r="L15" i="10"/>
  <c r="H55" i="10"/>
  <c r="H56" i="10" s="1"/>
  <c r="L40" i="10"/>
  <c r="E55" i="10"/>
  <c r="L6" i="10"/>
  <c r="K53" i="10" l="1"/>
  <c r="H54" i="10"/>
  <c r="K54" i="10" s="1"/>
  <c r="E56" i="10"/>
  <c r="K56" i="10" s="1"/>
  <c r="K55" i="10"/>
  <c r="H16" i="11" l="1"/>
  <c r="C16" i="11"/>
  <c r="F14" i="11"/>
  <c r="F15" i="11" s="1"/>
  <c r="G16" i="11" s="1"/>
  <c r="A14" i="11"/>
  <c r="A13" i="11"/>
  <c r="B13" i="11" s="1"/>
  <c r="H12" i="11"/>
  <c r="F3" i="11" s="1"/>
  <c r="E7" i="11" s="1"/>
  <c r="C12" i="11"/>
  <c r="C3" i="11" s="1"/>
  <c r="H16" i="12"/>
  <c r="C16" i="12"/>
  <c r="A15" i="12"/>
  <c r="B16" i="12" s="1"/>
  <c r="F14" i="12"/>
  <c r="A14" i="12"/>
  <c r="H12" i="12"/>
  <c r="C12" i="12"/>
  <c r="C3" i="12" s="1"/>
  <c r="B7" i="12"/>
  <c r="C6" i="12" s="1"/>
  <c r="F3" i="12"/>
  <c r="F5" i="12" s="1"/>
  <c r="E6" i="12" s="1"/>
  <c r="F13" i="11" l="1"/>
  <c r="G13" i="11" s="1"/>
  <c r="B7" i="11"/>
  <c r="G14" i="11"/>
  <c r="C5" i="11"/>
  <c r="B6" i="11" s="1"/>
  <c r="B4" i="11"/>
  <c r="B14" i="11"/>
  <c r="A15" i="11"/>
  <c r="B16" i="11" s="1"/>
  <c r="G14" i="12"/>
  <c r="E4" i="12"/>
  <c r="F15" i="12"/>
  <c r="G16" i="12" s="1"/>
  <c r="E7" i="12"/>
  <c r="E5" i="12" s="1"/>
  <c r="F4" i="12" s="1"/>
  <c r="F13" i="12"/>
  <c r="G13" i="12" s="1"/>
  <c r="C5" i="12"/>
  <c r="B6" i="12" s="1"/>
  <c r="B4" i="12"/>
  <c r="A13" i="12"/>
  <c r="B13" i="12" s="1"/>
  <c r="F6" i="12"/>
  <c r="B5" i="12"/>
  <c r="C4" i="12" s="1"/>
  <c r="E5" i="11"/>
  <c r="F4" i="11" s="1"/>
  <c r="F6" i="11"/>
  <c r="F5" i="11"/>
  <c r="E6" i="11" s="1"/>
  <c r="E4" i="11"/>
  <c r="G15" i="11"/>
  <c r="B15" i="12"/>
  <c r="L6" i="9"/>
  <c r="K39" i="9"/>
  <c r="K38" i="9"/>
  <c r="K37" i="9"/>
  <c r="K36" i="9"/>
  <c r="K35" i="9"/>
  <c r="K34" i="9"/>
  <c r="K33" i="9"/>
  <c r="K32" i="9"/>
  <c r="K20" i="9"/>
  <c r="K18" i="9"/>
  <c r="K11" i="9"/>
  <c r="K20" i="8"/>
  <c r="K18" i="8"/>
  <c r="J39" i="9"/>
  <c r="I39" i="9"/>
  <c r="G39" i="9"/>
  <c r="F38" i="9"/>
  <c r="J31" i="9"/>
  <c r="I31" i="9"/>
  <c r="G31" i="9"/>
  <c r="F31" i="9"/>
  <c r="J30" i="9"/>
  <c r="F30" i="9"/>
  <c r="E30" i="9"/>
  <c r="J29" i="9"/>
  <c r="F29" i="9"/>
  <c r="E29" i="9"/>
  <c r="F28" i="9"/>
  <c r="K28" i="9" s="1"/>
  <c r="F25" i="9"/>
  <c r="K25" i="9" s="1"/>
  <c r="H24" i="9"/>
  <c r="F24" i="9"/>
  <c r="E24" i="9"/>
  <c r="H23" i="9"/>
  <c r="F23" i="9"/>
  <c r="E23" i="9"/>
  <c r="E22" i="9"/>
  <c r="K22" i="9" s="1"/>
  <c r="J21" i="9"/>
  <c r="G21" i="9"/>
  <c r="F21" i="9"/>
  <c r="J19" i="9"/>
  <c r="F19" i="9"/>
  <c r="F17" i="9"/>
  <c r="F16" i="9"/>
  <c r="K16" i="9" s="1"/>
  <c r="F15" i="9"/>
  <c r="I14" i="9"/>
  <c r="G14" i="9"/>
  <c r="E14" i="9"/>
  <c r="J13" i="9"/>
  <c r="E13" i="9"/>
  <c r="F12" i="9"/>
  <c r="K12" i="9" s="1"/>
  <c r="F10" i="9"/>
  <c r="E10" i="9"/>
  <c r="E9" i="9"/>
  <c r="E8" i="9"/>
  <c r="K8" i="9" s="1"/>
  <c r="E7" i="9"/>
  <c r="K6" i="9"/>
  <c r="H5" i="9"/>
  <c r="E5" i="9"/>
  <c r="H16" i="3"/>
  <c r="C16" i="3"/>
  <c r="F14" i="3"/>
  <c r="G14" i="3" s="1"/>
  <c r="A14" i="3"/>
  <c r="A15" i="3" s="1"/>
  <c r="F13" i="3"/>
  <c r="G13" i="3" s="1"/>
  <c r="H12" i="3"/>
  <c r="C12" i="3"/>
  <c r="C3" i="3" s="1"/>
  <c r="F3" i="3"/>
  <c r="E7" i="3" s="1"/>
  <c r="J36" i="8"/>
  <c r="I36" i="8"/>
  <c r="G36" i="8"/>
  <c r="G35" i="8"/>
  <c r="F35" i="8"/>
  <c r="J34" i="8"/>
  <c r="I34" i="8"/>
  <c r="G34" i="8"/>
  <c r="F34" i="8"/>
  <c r="J33" i="8"/>
  <c r="F33" i="8"/>
  <c r="E33" i="8"/>
  <c r="J32" i="8"/>
  <c r="F32" i="8"/>
  <c r="E32" i="8"/>
  <c r="F31" i="8"/>
  <c r="K31" i="8" s="1"/>
  <c r="F30" i="8"/>
  <c r="F29" i="8"/>
  <c r="K29" i="8" s="1"/>
  <c r="J28" i="8"/>
  <c r="I28" i="8"/>
  <c r="F28" i="8"/>
  <c r="E28" i="8"/>
  <c r="F27" i="8"/>
  <c r="E27" i="8"/>
  <c r="H26" i="8"/>
  <c r="F26" i="8"/>
  <c r="E26" i="8"/>
  <c r="H25" i="8"/>
  <c r="F25" i="8"/>
  <c r="E25" i="8"/>
  <c r="E24" i="8"/>
  <c r="K24" i="8" s="1"/>
  <c r="J23" i="8"/>
  <c r="H23" i="8"/>
  <c r="E23" i="8"/>
  <c r="J22" i="8"/>
  <c r="I21" i="8"/>
  <c r="G21" i="8"/>
  <c r="F21" i="8"/>
  <c r="J19" i="8"/>
  <c r="K19" i="8"/>
  <c r="F17" i="8"/>
  <c r="E17" i="8"/>
  <c r="F16" i="8"/>
  <c r="K16" i="8" s="1"/>
  <c r="F15" i="8"/>
  <c r="I14" i="8"/>
  <c r="G14" i="8"/>
  <c r="E14" i="8"/>
  <c r="J13" i="8"/>
  <c r="E13" i="8"/>
  <c r="F12" i="8"/>
  <c r="F11" i="8"/>
  <c r="E11" i="8"/>
  <c r="J10" i="8"/>
  <c r="H10" i="8"/>
  <c r="E10" i="8"/>
  <c r="E9" i="8"/>
  <c r="K9" i="8" s="1"/>
  <c r="E8" i="8"/>
  <c r="H5" i="8"/>
  <c r="E5" i="8"/>
  <c r="B15" i="11" l="1"/>
  <c r="C6" i="11"/>
  <c r="B5" i="11"/>
  <c r="C4" i="11" s="1"/>
  <c r="G15" i="12"/>
  <c r="B7" i="3"/>
  <c r="C6" i="3" s="1"/>
  <c r="B14" i="12"/>
  <c r="F6" i="3"/>
  <c r="E5" i="3"/>
  <c r="F4" i="3" s="1"/>
  <c r="E4" i="3"/>
  <c r="F15" i="3"/>
  <c r="F5" i="3"/>
  <c r="E6" i="3" s="1"/>
  <c r="C5" i="3"/>
  <c r="B6" i="3" s="1"/>
  <c r="B4" i="3"/>
  <c r="B15" i="3"/>
  <c r="B16" i="3"/>
  <c r="A13" i="3"/>
  <c r="B13" i="3" s="1"/>
  <c r="K19" i="9"/>
  <c r="K27" i="9"/>
  <c r="L25" i="9" s="1"/>
  <c r="K9" i="9"/>
  <c r="K21" i="9"/>
  <c r="K30" i="9"/>
  <c r="K15" i="9"/>
  <c r="H40" i="9"/>
  <c r="H42" i="9" s="1"/>
  <c r="K14" i="9"/>
  <c r="J40" i="9"/>
  <c r="J42" i="9" s="1"/>
  <c r="K24" i="9"/>
  <c r="E40" i="9"/>
  <c r="E42" i="9" s="1"/>
  <c r="K29" i="9"/>
  <c r="K7" i="9"/>
  <c r="K10" i="9"/>
  <c r="K17" i="9"/>
  <c r="F40" i="9"/>
  <c r="F42" i="9" s="1"/>
  <c r="K31" i="9"/>
  <c r="L31" i="9" s="1"/>
  <c r="K13" i="9"/>
  <c r="G40" i="9"/>
  <c r="G42" i="9" s="1"/>
  <c r="K23" i="9"/>
  <c r="I40" i="9"/>
  <c r="I42" i="9" s="1"/>
  <c r="G37" i="8"/>
  <c r="G39" i="8" s="1"/>
  <c r="K17" i="8"/>
  <c r="K22" i="8"/>
  <c r="K32" i="8"/>
  <c r="K8" i="8"/>
  <c r="K25" i="8"/>
  <c r="K30" i="8"/>
  <c r="L29" i="8" s="1"/>
  <c r="K35" i="8"/>
  <c r="F37" i="8"/>
  <c r="F39" i="8" s="1"/>
  <c r="K13" i="8"/>
  <c r="K33" i="8"/>
  <c r="L31" i="8" s="1"/>
  <c r="H37" i="8"/>
  <c r="K10" i="8"/>
  <c r="I37" i="8"/>
  <c r="I39" i="8" s="1"/>
  <c r="K26" i="8"/>
  <c r="J37" i="8"/>
  <c r="J39" i="8" s="1"/>
  <c r="K11" i="8"/>
  <c r="K15" i="8"/>
  <c r="K21" i="8"/>
  <c r="K23" i="8"/>
  <c r="K28" i="8"/>
  <c r="K36" i="8"/>
  <c r="K12" i="8"/>
  <c r="K14" i="8"/>
  <c r="K27" i="8"/>
  <c r="K34" i="8"/>
  <c r="K7" i="8"/>
  <c r="B5" i="3" l="1"/>
  <c r="C4" i="3" s="1"/>
  <c r="G16" i="3"/>
  <c r="G15" i="3"/>
  <c r="B14" i="3"/>
  <c r="L28" i="9"/>
  <c r="L21" i="9"/>
  <c r="L13" i="9"/>
  <c r="E41" i="9"/>
  <c r="H41" i="9"/>
  <c r="H43" i="9"/>
  <c r="E43" i="9"/>
  <c r="K42" i="9"/>
  <c r="K40" i="9"/>
  <c r="L13" i="8"/>
  <c r="L34" i="8"/>
  <c r="L22" i="8"/>
  <c r="H38" i="8"/>
  <c r="H39" i="8"/>
  <c r="H40" i="8" s="1"/>
  <c r="E39" i="8"/>
  <c r="E38" i="8"/>
  <c r="K37" i="8"/>
  <c r="K41" i="9" l="1"/>
  <c r="K43" i="9"/>
  <c r="K38" i="8"/>
  <c r="E40" i="8"/>
  <c r="K40" i="8" s="1"/>
  <c r="K39" i="8"/>
</calcChain>
</file>

<file path=xl/sharedStrings.xml><?xml version="1.0" encoding="utf-8"?>
<sst xmlns="http://schemas.openxmlformats.org/spreadsheetml/2006/main" count="631" uniqueCount="226">
  <si>
    <t>CATEGORIA</t>
  </si>
  <si>
    <t>Nº</t>
  </si>
  <si>
    <t>QUESTÕES</t>
  </si>
  <si>
    <t>R</t>
  </si>
  <si>
    <t>V</t>
  </si>
  <si>
    <t>A</t>
  </si>
  <si>
    <t>PESO</t>
  </si>
  <si>
    <t>E</t>
  </si>
  <si>
    <t>C</t>
  </si>
  <si>
    <t>M</t>
  </si>
  <si>
    <t>H</t>
  </si>
  <si>
    <t>T</t>
  </si>
  <si>
    <t>PESO CAT</t>
  </si>
  <si>
    <t>V1</t>
  </si>
  <si>
    <t>V2</t>
  </si>
  <si>
    <t>V3</t>
  </si>
  <si>
    <t>A1</t>
  </si>
  <si>
    <t>A2</t>
  </si>
  <si>
    <t>A3</t>
  </si>
  <si>
    <t>É do sexo feminino?</t>
  </si>
  <si>
    <t>REDE FAMILIAR</t>
  </si>
  <si>
    <t>SAÚDE</t>
  </si>
  <si>
    <t>EDUCAÇÃO</t>
  </si>
  <si>
    <t>O (a) aluno (a) possui faltas recorrentes à escola?</t>
  </si>
  <si>
    <t>SÓCIO-TERRITORIAL</t>
  </si>
  <si>
    <t>Sabe informar se o (a) estudante reside em área de vulnerabilidade criminal (área violentada)?</t>
  </si>
  <si>
    <t>SEGURANÇA</t>
  </si>
  <si>
    <t>CÁLCULOS</t>
  </si>
  <si>
    <t>QUANTIDADE ABSOLUTA DE RECORRÊNCIAS POR SUBCATEGORIA (A-E-C); (M-H-T)</t>
  </si>
  <si>
    <t>QUANTIDADE ABSOLUTA DE RECORRÊNCIAS POR CATEGORIA (V-A)</t>
  </si>
  <si>
    <t>PESO MÁXIMO ATRIBUÍDO A CADA SUBCATEGORIA</t>
  </si>
  <si>
    <t>PESO MÁXIMO ATRIBUÍDO A CADA CATEGORIA (VULNERABILIDADE E AMEAÇA)</t>
  </si>
  <si>
    <t>VULNERABILIDADE</t>
  </si>
  <si>
    <t>AMEAÇA</t>
  </si>
  <si>
    <t>ESCALA</t>
  </si>
  <si>
    <t>MÍNIMA</t>
  </si>
  <si>
    <t>MÁXIMA</t>
  </si>
  <si>
    <t>MÍNIMO</t>
  </si>
  <si>
    <t>MÁXIMO</t>
  </si>
  <si>
    <t>MUITO BAIXA</t>
  </si>
  <si>
    <t>INSIGNIFICANTE</t>
  </si>
  <si>
    <t>BAIXA</t>
  </si>
  <si>
    <t>PEQUENA</t>
  </si>
  <si>
    <t>MÉDIA</t>
  </si>
  <si>
    <t>MODERADA</t>
  </si>
  <si>
    <t>ALTA</t>
  </si>
  <si>
    <t>SIGNIFICANTE</t>
  </si>
  <si>
    <t>MUITO ALTA</t>
  </si>
  <si>
    <t>EXTREMA</t>
  </si>
  <si>
    <t>VULNERABILIDADES</t>
  </si>
  <si>
    <t>AMEAÇAS</t>
  </si>
  <si>
    <t>TENDÊNCIA</t>
  </si>
  <si>
    <t>21</t>
  </si>
  <si>
    <t>NÍVEL DO CRITÉRIO</t>
  </si>
  <si>
    <t>VALOR</t>
  </si>
  <si>
    <t>ATRATIBILIDADE</t>
  </si>
  <si>
    <t>MOTIVAÇÃO</t>
  </si>
  <si>
    <t>0,00-4,29</t>
  </si>
  <si>
    <t>0,00-5,29</t>
  </si>
  <si>
    <t>EXPOSIÇÃO</t>
  </si>
  <si>
    <t>HISTÓRICO</t>
  </si>
  <si>
    <t>11</t>
  </si>
  <si>
    <t>0,00-6,09</t>
  </si>
  <si>
    <t>0,00-2,2,09</t>
  </si>
  <si>
    <t>6,10-12,09</t>
  </si>
  <si>
    <t>2,30-4,49</t>
  </si>
  <si>
    <t>12,10-18,09</t>
  </si>
  <si>
    <t>4,50-6,69</t>
  </si>
  <si>
    <t>18,10-24,09</t>
  </si>
  <si>
    <t>6,70-8,89</t>
  </si>
  <si>
    <t>24,10-30,00</t>
  </si>
  <si>
    <t>8,90-11,00</t>
  </si>
  <si>
    <t>CASUÍSTICA</t>
  </si>
  <si>
    <t>MATRIZ DE RISCO</t>
  </si>
  <si>
    <t>CLASSIFICAÇÃO</t>
  </si>
  <si>
    <t>CATASTRÓFICA</t>
  </si>
  <si>
    <t>MUITO BAIXO</t>
  </si>
  <si>
    <t>BAIXO</t>
  </si>
  <si>
    <t>MODERADO</t>
  </si>
  <si>
    <t>ALTO</t>
  </si>
  <si>
    <t>EXTREMO</t>
  </si>
  <si>
    <t>A família identifica a estudante como preto(a) ou pardo(a)?</t>
  </si>
  <si>
    <t>A família se identifica com religião da matriz africana?</t>
  </si>
  <si>
    <t>O (a) estudante possui deficiência física, intelectual ou doença degenerativa?</t>
  </si>
  <si>
    <t>A família recebe algum benefício de transferência de renda do governo?</t>
  </si>
  <si>
    <t>A Renda familiar é menor do que 3 SM?</t>
  </si>
  <si>
    <t>O (a) estudante está em família monoparental chefiada por mulher?</t>
  </si>
  <si>
    <t>O (a) estudante é órfão do Feminicídio?</t>
  </si>
  <si>
    <t>O (a) estudante possui irmão com deficiência?</t>
  </si>
  <si>
    <t>O (a) estudante possui irmão com histórico de evasão escolar?</t>
  </si>
  <si>
    <t>Os pais são separados, convive com padrasto, os pais são falecidos, possui somente pai ou possui somente mãe?</t>
  </si>
  <si>
    <t>Há relatos de que familiares do aluno atuam em atividades ilícitas?</t>
  </si>
  <si>
    <t>A família NÃO participa de forma assídua e frequente da vida escolar do aluno?</t>
  </si>
  <si>
    <t>Ocorre a troca de cuidador(a) do estudante de forma recorrente?</t>
  </si>
  <si>
    <t>O (a) estudante já presenciou alguma situação de violência intrafamiliar?</t>
  </si>
  <si>
    <t>Tem indícios de que o (a) estudante esteja em situação de insegurança alimentar?</t>
  </si>
  <si>
    <t>A higiene pessoal do aluno está comprometida?</t>
  </si>
  <si>
    <t>O estudante apresenta comportamento : agressivos, retraídos, irritação excessiva ou regressivos?</t>
  </si>
  <si>
    <t>A carteira de saúde do aluno não está atualizada?</t>
  </si>
  <si>
    <t>Faz uso de alguma medicação?</t>
  </si>
  <si>
    <t>O aluno faz algum acompanhamento multiprofissional?</t>
  </si>
  <si>
    <t>O estudante possui alguma intolerância alimentar?</t>
  </si>
  <si>
    <t>O (a) estudante reside em área de vulnerabilidade social (moradia precária)?</t>
  </si>
  <si>
    <t>O (a) estudante possui lesões resultantes de alguma violência sofrida?</t>
  </si>
  <si>
    <t>O (a) estudante foi vítima de violência sexual?</t>
  </si>
  <si>
    <t>O aluno apresenta sinais de maus tratos?</t>
  </si>
  <si>
    <t>É Criança ?</t>
  </si>
  <si>
    <t>A família ou o (a) estudante se identifica como preto(a) ou pardo(a)?</t>
  </si>
  <si>
    <t>A família ou estudante se identifica com religião da matriz africana?</t>
  </si>
  <si>
    <t>O (a) estudante possui alguma fragilidade emocional?</t>
  </si>
  <si>
    <t>Há casos de maternidade ou paternidade na adolescência do (a) estudante?</t>
  </si>
  <si>
    <t>O aluno faz algum  acompanhamento multiprofissional?</t>
  </si>
  <si>
    <t>O (a) estudante já repetiu de ano?</t>
  </si>
  <si>
    <t>O (a) estudante abandonou a escola alguma vez?</t>
  </si>
  <si>
    <t>O (a) estudante tem dificuldade de acessar transporte público?</t>
  </si>
  <si>
    <t>O (a) estudante sofreu bullying?</t>
  </si>
  <si>
    <t>O (a) estudante praticou Bullying?</t>
  </si>
  <si>
    <t>O (a) estudante já teve atritos com colegas?</t>
  </si>
  <si>
    <t>O (a) estudante já teve atritos com professores e/ou colaboradores?</t>
  </si>
  <si>
    <t>O (a) estudante se há suspeita de que o (a) aluno tenha sofrido violência em ambiente virtual?</t>
  </si>
  <si>
    <t>Há  relatos de lideranças negativas no território em que o (a) aluno(a) reside?</t>
  </si>
  <si>
    <t>O (a) estudante NÃO se identifica como heterossexual? (orientação sexual)</t>
  </si>
  <si>
    <t>A estudante realizou aborto?</t>
  </si>
  <si>
    <t>O (a) estudante faz uso de drogas lícitas e/ou ilícitas?</t>
  </si>
  <si>
    <t>O (a) estudante apresentou comportamento ou fala de ideação suicida?</t>
  </si>
  <si>
    <t>O (a) estudante apresenta sinais de autolesão?</t>
  </si>
  <si>
    <t>Tem indícios no (a) estudante de prostituição e/ou exploração sexual?</t>
  </si>
  <si>
    <t>O (a) estudante possui meios para manter higiene menstrual?</t>
  </si>
  <si>
    <t>O (a) estudante esboça sentimentos de vaidade, vingança ou insatisfação?</t>
  </si>
  <si>
    <t>Há suspeita de que o (a) estudante tenha sido usado para atuar em atividades ilícitas?</t>
  </si>
  <si>
    <t>Há suspeita de que o (a) estudante já tenha portado arma de fogo na escola?</t>
  </si>
  <si>
    <t>Há suspeita de que o (a) estudante já tenha portado arma branca na escola?</t>
  </si>
  <si>
    <t>Há suspeita de que o (a) estudante tenha portado drogas na escola?</t>
  </si>
  <si>
    <t>O (a) estudante NÃO mora próximo a escola?</t>
  </si>
  <si>
    <t>O estudante apresenta desenvolvimento cognitivo ou motor  inadequados para idade?</t>
  </si>
  <si>
    <t>7</t>
  </si>
  <si>
    <t>23</t>
  </si>
  <si>
    <t>4,30-8,30</t>
  </si>
  <si>
    <t>8,31 - 12,71</t>
  </si>
  <si>
    <t>12,72-16,92</t>
  </si>
  <si>
    <t>16,93-21,00</t>
  </si>
  <si>
    <t>0,00-1,49</t>
  </si>
  <si>
    <t>1,49-2,89</t>
  </si>
  <si>
    <t>2,90-4,30</t>
  </si>
  <si>
    <t>4,31-5,71</t>
  </si>
  <si>
    <t>5,72-7,00</t>
  </si>
  <si>
    <t>0,00-4,69</t>
  </si>
  <si>
    <t>4,70-9,29</t>
  </si>
  <si>
    <t>9,30-13,90</t>
  </si>
  <si>
    <t>13,91-18,51</t>
  </si>
  <si>
    <t>18,52-23,00</t>
  </si>
  <si>
    <t>31</t>
  </si>
  <si>
    <t>15</t>
  </si>
  <si>
    <t>0,00-6,29</t>
  </si>
  <si>
    <t>6,30-12,50</t>
  </si>
  <si>
    <t>12,51-18,71</t>
  </si>
  <si>
    <t>18,72-24,92</t>
  </si>
  <si>
    <t>24,93-31,00</t>
  </si>
  <si>
    <t>0,00-3,09</t>
  </si>
  <si>
    <t>3,10-6,10</t>
  </si>
  <si>
    <t>6,11-9,11</t>
  </si>
  <si>
    <t>9,12-12,12</t>
  </si>
  <si>
    <t>12,13-15,00</t>
  </si>
  <si>
    <t>A família não participa de forma assídua e frequente da vida escolar do aluno?</t>
  </si>
  <si>
    <t>28</t>
  </si>
  <si>
    <t>É criança?</t>
  </si>
  <si>
    <t>INTERSECCIONALIDADE</t>
  </si>
  <si>
    <t>0,00-5,69</t>
  </si>
  <si>
    <t>5,70-11,30</t>
  </si>
  <si>
    <t>11,31-16,91</t>
  </si>
  <si>
    <t>16,92-22,52</t>
  </si>
  <si>
    <t>22,53-28,00</t>
  </si>
  <si>
    <t>32</t>
  </si>
  <si>
    <t>14</t>
  </si>
  <si>
    <t>26</t>
  </si>
  <si>
    <t>0,00-6,49</t>
  </si>
  <si>
    <t>6,50-12,90</t>
  </si>
  <si>
    <t>12,91-19,31</t>
  </si>
  <si>
    <t>19,32-25,72</t>
  </si>
  <si>
    <t>25,73-32,00</t>
  </si>
  <si>
    <t>0,00-2,89</t>
  </si>
  <si>
    <t>2,90-5,70</t>
  </si>
  <si>
    <t>5,71-8,51</t>
  </si>
  <si>
    <t>8,52-11,32</t>
  </si>
  <si>
    <t>11,33-14,00</t>
  </si>
  <si>
    <t>4,70-9,30</t>
  </si>
  <si>
    <t>9,31-13,91</t>
  </si>
  <si>
    <t>13,92-18,52</t>
  </si>
  <si>
    <t>18,53-23,00</t>
  </si>
  <si>
    <t>0,00-2,29</t>
  </si>
  <si>
    <t>2,30-4,50</t>
  </si>
  <si>
    <t>4,51-6,71</t>
  </si>
  <si>
    <t>6,72-8,92</t>
  </si>
  <si>
    <t>8,93-11,00</t>
  </si>
  <si>
    <t>5,30-10,50</t>
  </si>
  <si>
    <t>10,51-15,71</t>
  </si>
  <si>
    <t>15,72-20,92</t>
  </si>
  <si>
    <t>20,93-26,00</t>
  </si>
  <si>
    <t>É Criança ou adolescente?</t>
  </si>
  <si>
    <t>37</t>
  </si>
  <si>
    <t>25</t>
  </si>
  <si>
    <t>43</t>
  </si>
  <si>
    <t>17</t>
  </si>
  <si>
    <t>00,00-7,49</t>
  </si>
  <si>
    <t>7,50-14,90</t>
  </si>
  <si>
    <t>14,91-22,31</t>
  </si>
  <si>
    <t>22,32-29,72</t>
  </si>
  <si>
    <t>29,73-37,00</t>
  </si>
  <si>
    <t>0,00-8,69</t>
  </si>
  <si>
    <t>8,70-17,30</t>
  </si>
  <si>
    <t>17,31-25,91</t>
  </si>
  <si>
    <t>25,92-34,52</t>
  </si>
  <si>
    <t>34,53-43,00</t>
  </si>
  <si>
    <t>0,00-5,09</t>
  </si>
  <si>
    <t>5,10-10,10</t>
  </si>
  <si>
    <t>10,11-15,11</t>
  </si>
  <si>
    <t>15,12-20,12</t>
  </si>
  <si>
    <t>20,13-25,00</t>
  </si>
  <si>
    <t>0,00-3,49</t>
  </si>
  <si>
    <t>3,50-6,90</t>
  </si>
  <si>
    <t>6,91-10,30</t>
  </si>
  <si>
    <t>10,31-13,71</t>
  </si>
  <si>
    <t>13,72-17,00</t>
  </si>
  <si>
    <t>10,51-15,70</t>
  </si>
  <si>
    <t>15,71-20,91</t>
  </si>
  <si>
    <t>20,92-26,00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</si>
</sst>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name val="Calibri"/>
      <charset val="134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AEA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0" fillId="0" borderId="6" xfId="0" applyBorder="1"/>
    <xf numFmtId="2" fontId="2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Border="1"/>
    <xf numFmtId="0" fontId="2" fillId="0" borderId="5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/>
    <xf numFmtId="2" fontId="2" fillId="0" borderId="7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8" xfId="0" applyBorder="1"/>
    <xf numFmtId="2" fontId="2" fillId="0" borderId="8" xfId="0" applyNumberFormat="1" applyFont="1" applyBorder="1" applyAlignment="1">
      <alignment horizontal="center"/>
    </xf>
    <xf numFmtId="2" fontId="0" fillId="0" borderId="8" xfId="0" applyNumberFormat="1" applyBorder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/>
    <xf numFmtId="0" fontId="0" fillId="0" borderId="9" xfId="0" applyBorder="1"/>
    <xf numFmtId="2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164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7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49" fontId="0" fillId="0" borderId="0" xfId="0" applyNumberFormat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0" borderId="15" xfId="0" applyFont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9" fontId="0" fillId="0" borderId="21" xfId="0" applyNumberFormat="1" applyBorder="1" applyAlignment="1">
      <alignment horizontal="center"/>
    </xf>
    <xf numFmtId="0" fontId="0" fillId="0" borderId="21" xfId="0" applyBorder="1"/>
    <xf numFmtId="9" fontId="0" fillId="0" borderId="22" xfId="0" applyNumberForma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15" xfId="0" applyBorder="1"/>
    <xf numFmtId="0" fontId="7" fillId="0" borderId="5" xfId="0" applyFont="1" applyBorder="1"/>
    <xf numFmtId="0" fontId="7" fillId="0" borderId="0" xfId="0" applyFont="1"/>
    <xf numFmtId="0" fontId="6" fillId="0" borderId="5" xfId="0" applyFont="1" applyBorder="1"/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23" xfId="0" applyFont="1" applyBorder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11" borderId="5" xfId="0" applyFont="1" applyFill="1" applyBorder="1" applyAlignment="1">
      <alignment horizontal="justify" vertical="center" wrapText="1"/>
    </xf>
    <xf numFmtId="0" fontId="9" fillId="11" borderId="5" xfId="0" applyFont="1" applyFill="1" applyBorder="1"/>
    <xf numFmtId="0" fontId="9" fillId="11" borderId="5" xfId="0" applyFont="1" applyFill="1" applyBorder="1" applyAlignment="1">
      <alignment wrapText="1"/>
    </xf>
    <xf numFmtId="0" fontId="7" fillId="0" borderId="0" xfId="0" applyFont="1" applyBorder="1"/>
    <xf numFmtId="0" fontId="11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vertical="center"/>
    </xf>
    <xf numFmtId="0" fontId="12" fillId="11" borderId="0" xfId="0" applyFont="1" applyFill="1"/>
    <xf numFmtId="0" fontId="9" fillId="11" borderId="0" xfId="0" applyFont="1" applyFill="1"/>
    <xf numFmtId="49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4" fillId="0" borderId="5" xfId="0" applyFont="1" applyBorder="1"/>
    <xf numFmtId="0" fontId="14" fillId="0" borderId="5" xfId="0" applyFont="1" applyBorder="1" applyAlignment="1">
      <alignment horizontal="center" vertical="center" wrapText="1"/>
    </xf>
    <xf numFmtId="0" fontId="11" fillId="11" borderId="24" xfId="0" applyFont="1" applyFill="1" applyBorder="1" applyAlignment="1">
      <alignment vertical="center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0" xfId="0" applyFont="1" applyFill="1"/>
    <xf numFmtId="0" fontId="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/>
    </xf>
    <xf numFmtId="0" fontId="11" fillId="11" borderId="0" xfId="0" applyFont="1" applyFill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3" fillId="6" borderId="5" xfId="0" applyFont="1" applyFill="1" applyBorder="1"/>
    <xf numFmtId="0" fontId="9" fillId="11" borderId="24" xfId="0" applyFont="1" applyFill="1" applyBorder="1" applyAlignment="1">
      <alignment vertical="center"/>
    </xf>
    <xf numFmtId="0" fontId="9" fillId="11" borderId="26" xfId="0" applyFont="1" applyFill="1" applyBorder="1" applyAlignment="1">
      <alignment vertical="center"/>
    </xf>
    <xf numFmtId="0" fontId="9" fillId="11" borderId="5" xfId="0" applyFont="1" applyFill="1" applyBorder="1" applyAlignment="1">
      <alignment vertical="center"/>
    </xf>
    <xf numFmtId="0" fontId="11" fillId="11" borderId="5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/>
    </xf>
    <xf numFmtId="0" fontId="11" fillId="11" borderId="5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left" vertical="center" wrapText="1"/>
    </xf>
    <xf numFmtId="0" fontId="11" fillId="11" borderId="27" xfId="0" applyFont="1" applyFill="1" applyBorder="1" applyAlignment="1">
      <alignment horizontal="left" vertical="center" wrapText="1"/>
    </xf>
    <xf numFmtId="0" fontId="11" fillId="11" borderId="28" xfId="0" applyFont="1" applyFill="1" applyBorder="1" applyAlignment="1">
      <alignment horizontal="left" vertical="center" wrapText="1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11" fillId="11" borderId="26" xfId="0" applyFont="1" applyFill="1" applyBorder="1" applyAlignment="1">
      <alignment horizontal="center"/>
    </xf>
    <xf numFmtId="0" fontId="11" fillId="11" borderId="23" xfId="0" applyFont="1" applyFill="1" applyBorder="1" applyAlignment="1">
      <alignment horizontal="left"/>
    </xf>
    <xf numFmtId="0" fontId="11" fillId="11" borderId="27" xfId="0" applyFont="1" applyFill="1" applyBorder="1" applyAlignment="1">
      <alignment horizontal="left"/>
    </xf>
    <xf numFmtId="0" fontId="11" fillId="11" borderId="28" xfId="0" applyFont="1" applyFill="1" applyBorder="1" applyAlignment="1">
      <alignment horizontal="left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left" vertical="center" wrapText="1"/>
    </xf>
    <xf numFmtId="0" fontId="9" fillId="11" borderId="24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textRotation="90" wrapText="1"/>
    </xf>
    <xf numFmtId="0" fontId="5" fillId="9" borderId="17" xfId="0" applyFont="1" applyFill="1" applyBorder="1" applyAlignment="1">
      <alignment horizontal="center" vertical="center" textRotation="90" wrapText="1"/>
    </xf>
    <xf numFmtId="0" fontId="5" fillId="9" borderId="18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6FD6"/>
      <color rgb="FFFEC2FA"/>
      <color rgb="FFCCFFFF"/>
      <color rgb="FFCDFDDC"/>
      <color rgb="FFCC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3"/>
  <sheetViews>
    <sheetView zoomScaleNormal="100" zoomScaleSheetLayoutView="110" workbookViewId="0">
      <pane ySplit="2" topLeftCell="A44" activePane="bottomLeft" state="frozen"/>
      <selection pane="bottomLeft" activeCell="C29" sqref="C29"/>
    </sheetView>
  </sheetViews>
  <sheetFormatPr defaultColWidth="81.140625" defaultRowHeight="15.75"/>
  <cols>
    <col min="1" max="1" width="24.5703125" style="67" customWidth="1"/>
    <col min="2" max="2" width="3.5703125" style="68" customWidth="1"/>
    <col min="3" max="3" width="70.85546875" style="65" customWidth="1"/>
    <col min="4" max="4" width="3.5703125" style="69" hidden="1" customWidth="1"/>
    <col min="5" max="5" width="5.42578125" style="65" customWidth="1"/>
    <col min="6" max="6" width="4.28515625" style="65" customWidth="1"/>
    <col min="7" max="7" width="5.28515625" style="70" customWidth="1"/>
    <col min="8" max="8" width="4.140625" style="66" customWidth="1"/>
    <col min="9" max="9" width="5.5703125" style="66" customWidth="1"/>
    <col min="10" max="10" width="5.140625" style="66" customWidth="1"/>
    <col min="11" max="11" width="7.140625" style="71" customWidth="1"/>
    <col min="12" max="12" width="10.5703125" style="72" customWidth="1"/>
    <col min="13" max="15" width="81.140625" style="66"/>
    <col min="16" max="16384" width="81.140625" style="65"/>
  </cols>
  <sheetData>
    <row r="1" spans="1:15">
      <c r="A1" s="123" t="s">
        <v>0</v>
      </c>
      <c r="B1" s="123" t="s">
        <v>1</v>
      </c>
      <c r="C1" s="124" t="s">
        <v>2</v>
      </c>
      <c r="D1" s="124" t="s">
        <v>3</v>
      </c>
      <c r="E1" s="124" t="s">
        <v>4</v>
      </c>
      <c r="F1" s="124"/>
      <c r="G1" s="124"/>
      <c r="H1" s="124" t="s">
        <v>5</v>
      </c>
      <c r="I1" s="124"/>
      <c r="J1" s="124"/>
      <c r="K1" s="123" t="s">
        <v>6</v>
      </c>
      <c r="L1" s="93"/>
    </row>
    <row r="2" spans="1:15">
      <c r="A2" s="123"/>
      <c r="B2" s="123"/>
      <c r="C2" s="124"/>
      <c r="D2" s="124"/>
      <c r="E2" s="94" t="s">
        <v>5</v>
      </c>
      <c r="F2" s="94" t="s">
        <v>7</v>
      </c>
      <c r="G2" s="94" t="s">
        <v>8</v>
      </c>
      <c r="H2" s="94" t="s">
        <v>9</v>
      </c>
      <c r="I2" s="94" t="s">
        <v>10</v>
      </c>
      <c r="J2" s="94" t="s">
        <v>11</v>
      </c>
      <c r="K2" s="123"/>
      <c r="L2" s="123" t="s">
        <v>12</v>
      </c>
    </row>
    <row r="3" spans="1:15">
      <c r="A3" s="123"/>
      <c r="B3" s="123"/>
      <c r="C3" s="124"/>
      <c r="D3" s="124"/>
      <c r="E3" s="94" t="s">
        <v>13</v>
      </c>
      <c r="F3" s="94" t="s">
        <v>14</v>
      </c>
      <c r="G3" s="94" t="s">
        <v>15</v>
      </c>
      <c r="H3" s="94" t="s">
        <v>16</v>
      </c>
      <c r="I3" s="94" t="s">
        <v>17</v>
      </c>
      <c r="J3" s="94" t="s">
        <v>18</v>
      </c>
      <c r="K3" s="123"/>
      <c r="L3" s="123"/>
    </row>
    <row r="4" spans="1:15">
      <c r="A4" s="123"/>
      <c r="B4" s="123"/>
      <c r="C4" s="124"/>
      <c r="D4" s="124"/>
      <c r="E4" s="94">
        <v>0.33</v>
      </c>
      <c r="F4" s="94">
        <v>0.5</v>
      </c>
      <c r="G4" s="94">
        <v>0.25</v>
      </c>
      <c r="H4" s="94">
        <v>1</v>
      </c>
      <c r="I4" s="94">
        <v>0.33</v>
      </c>
      <c r="J4" s="94">
        <v>0.5</v>
      </c>
      <c r="K4" s="123"/>
      <c r="L4" s="123"/>
    </row>
    <row r="5" spans="1:15">
      <c r="A5" s="123"/>
      <c r="B5" s="123"/>
      <c r="C5" s="124"/>
      <c r="D5" s="124"/>
      <c r="E5" s="124">
        <f>E4+F4+G4</f>
        <v>1.08</v>
      </c>
      <c r="F5" s="124"/>
      <c r="G5" s="124"/>
      <c r="H5" s="124">
        <f>H4+I4+J4</f>
        <v>1.83</v>
      </c>
      <c r="I5" s="124"/>
      <c r="J5" s="124"/>
      <c r="K5" s="123"/>
      <c r="L5" s="123"/>
    </row>
    <row r="6" spans="1:15">
      <c r="A6" s="110" t="s">
        <v>166</v>
      </c>
      <c r="B6" s="86">
        <v>1</v>
      </c>
      <c r="C6" s="81" t="s">
        <v>198</v>
      </c>
      <c r="D6" s="87">
        <v>1</v>
      </c>
      <c r="E6" s="87">
        <v>1</v>
      </c>
      <c r="F6" s="87">
        <v>0</v>
      </c>
      <c r="G6" s="87">
        <v>0</v>
      </c>
      <c r="H6" s="86">
        <v>0</v>
      </c>
      <c r="I6" s="86">
        <v>0</v>
      </c>
      <c r="J6" s="86">
        <v>0</v>
      </c>
      <c r="K6" s="88">
        <f t="shared" ref="K6:K52" si="0">(E6*0.33)+(F6*0.5)+(G6*0.25)+(H6*1)+(I6*0.33)+(J6*0.5)</f>
        <v>0.33</v>
      </c>
      <c r="L6" s="110">
        <f>SUM(K6:K14)</f>
        <v>8.64</v>
      </c>
    </row>
    <row r="7" spans="1:15">
      <c r="A7" s="110"/>
      <c r="B7" s="86">
        <v>2</v>
      </c>
      <c r="C7" s="81" t="s">
        <v>19</v>
      </c>
      <c r="D7" s="87">
        <v>1</v>
      </c>
      <c r="E7" s="87">
        <f t="shared" ref="E7:E33" si="1">D7</f>
        <v>1</v>
      </c>
      <c r="F7" s="87">
        <v>1</v>
      </c>
      <c r="G7" s="87">
        <v>0</v>
      </c>
      <c r="H7" s="86">
        <v>0</v>
      </c>
      <c r="I7" s="86">
        <v>0</v>
      </c>
      <c r="J7" s="86">
        <v>0</v>
      </c>
      <c r="K7" s="88">
        <f t="shared" si="0"/>
        <v>0.83000000000000007</v>
      </c>
      <c r="L7" s="110"/>
    </row>
    <row r="8" spans="1:15">
      <c r="A8" s="110"/>
      <c r="B8" s="126">
        <v>3</v>
      </c>
      <c r="C8" s="125" t="s">
        <v>121</v>
      </c>
      <c r="D8" s="87"/>
      <c r="E8" s="128">
        <f>D9</f>
        <v>1</v>
      </c>
      <c r="F8" s="128">
        <v>0</v>
      </c>
      <c r="G8" s="128">
        <v>0</v>
      </c>
      <c r="H8" s="126">
        <v>1</v>
      </c>
      <c r="I8" s="126">
        <v>0</v>
      </c>
      <c r="J8" s="126">
        <v>1</v>
      </c>
      <c r="K8" s="111">
        <f>(E8*0.33)+(F8*0.5)+(G8*0.25)+(H8*1)+(I8*0.33)+(J8*0.5)</f>
        <v>1.83</v>
      </c>
      <c r="L8" s="110"/>
    </row>
    <row r="9" spans="1:15" ht="15.75" customHeight="1">
      <c r="A9" s="110"/>
      <c r="B9" s="127"/>
      <c r="C9" s="125"/>
      <c r="D9" s="87">
        <v>1</v>
      </c>
      <c r="E9" s="129"/>
      <c r="F9" s="129"/>
      <c r="G9" s="129"/>
      <c r="H9" s="127"/>
      <c r="I9" s="127"/>
      <c r="J9" s="127"/>
      <c r="K9" s="113"/>
      <c r="L9" s="110"/>
    </row>
    <row r="10" spans="1:15" s="84" customFormat="1" ht="15.75" customHeight="1">
      <c r="A10" s="110"/>
      <c r="B10" s="86">
        <v>4</v>
      </c>
      <c r="C10" s="81" t="s">
        <v>107</v>
      </c>
      <c r="D10" s="87"/>
      <c r="E10" s="87">
        <v>1</v>
      </c>
      <c r="F10" s="87">
        <v>1</v>
      </c>
      <c r="G10" s="87">
        <v>0</v>
      </c>
      <c r="H10" s="86">
        <v>0</v>
      </c>
      <c r="I10" s="86">
        <v>0</v>
      </c>
      <c r="J10" s="86">
        <v>0</v>
      </c>
      <c r="K10" s="95">
        <f>(E10*0.33)+(F10*0.5)+(G10*0.25)+(H10*1)+(I10*0.33)+(J10*0.5)</f>
        <v>0.83000000000000007</v>
      </c>
      <c r="L10" s="110"/>
      <c r="M10" s="66"/>
      <c r="N10" s="66"/>
      <c r="O10" s="66"/>
    </row>
    <row r="11" spans="1:15" s="66" customFormat="1">
      <c r="A11" s="110"/>
      <c r="B11" s="86">
        <v>4.9142857142857101</v>
      </c>
      <c r="C11" s="81" t="s">
        <v>108</v>
      </c>
      <c r="D11" s="87">
        <v>1</v>
      </c>
      <c r="E11" s="87">
        <f t="shared" si="1"/>
        <v>1</v>
      </c>
      <c r="F11" s="87">
        <f>D11</f>
        <v>1</v>
      </c>
      <c r="G11" s="87">
        <v>0</v>
      </c>
      <c r="H11" s="86">
        <v>0</v>
      </c>
      <c r="I11" s="86">
        <v>0</v>
      </c>
      <c r="J11" s="86">
        <v>0</v>
      </c>
      <c r="K11" s="95">
        <f>(E11*0.33)+(F11*0.5)+(G11*0.25)+(H11*1)+(I11*0.33)+(J11*0.5)</f>
        <v>0.83000000000000007</v>
      </c>
      <c r="L11" s="110"/>
    </row>
    <row r="12" spans="1:15" s="66" customFormat="1" ht="31.5">
      <c r="A12" s="110"/>
      <c r="B12" s="86">
        <v>5.6571428571428601</v>
      </c>
      <c r="C12" s="81" t="s">
        <v>83</v>
      </c>
      <c r="D12" s="87"/>
      <c r="E12" s="87">
        <v>1</v>
      </c>
      <c r="F12" s="87">
        <v>1</v>
      </c>
      <c r="G12" s="87">
        <v>0</v>
      </c>
      <c r="H12" s="86">
        <v>1</v>
      </c>
      <c r="I12" s="86">
        <v>0</v>
      </c>
      <c r="J12" s="86">
        <v>1</v>
      </c>
      <c r="K12" s="95">
        <f>(E12*0.33)+(F12*0.5)+(G12*0.25)+(H12*1)+(I12*0.33)+(J12*0.5)</f>
        <v>2.33</v>
      </c>
      <c r="L12" s="110"/>
    </row>
    <row r="13" spans="1:15" s="66" customFormat="1">
      <c r="A13" s="110"/>
      <c r="B13" s="107">
        <v>7</v>
      </c>
      <c r="C13" s="81" t="s">
        <v>84</v>
      </c>
      <c r="D13" s="87"/>
      <c r="E13" s="87">
        <v>1</v>
      </c>
      <c r="F13" s="87">
        <v>1</v>
      </c>
      <c r="G13" s="87">
        <v>0</v>
      </c>
      <c r="H13" s="86">
        <v>0</v>
      </c>
      <c r="I13" s="86">
        <v>0</v>
      </c>
      <c r="J13" s="86">
        <v>0</v>
      </c>
      <c r="K13" s="95">
        <f>(E13*0.33)+(F13*0.5)+(G13*0.25)+(H13*1)+(I13*0.33)+(J13*0.5)</f>
        <v>0.83000000000000007</v>
      </c>
      <c r="L13" s="110"/>
    </row>
    <row r="14" spans="1:15" s="66" customFormat="1">
      <c r="A14" s="110"/>
      <c r="B14" s="106">
        <v>8</v>
      </c>
      <c r="C14" s="81" t="s">
        <v>85</v>
      </c>
      <c r="D14" s="87"/>
      <c r="E14" s="87">
        <v>1</v>
      </c>
      <c r="F14" s="87">
        <v>1</v>
      </c>
      <c r="G14" s="87">
        <v>0</v>
      </c>
      <c r="H14" s="86">
        <v>0</v>
      </c>
      <c r="I14" s="86">
        <v>0</v>
      </c>
      <c r="J14" s="86">
        <v>0</v>
      </c>
      <c r="K14" s="95">
        <f>(E14*0.33)+(F14*0.5)+(G14*0.25)+(H14*1)+(I14*0.33)+(J14*0.5)</f>
        <v>0.83000000000000007</v>
      </c>
      <c r="L14" s="110"/>
    </row>
    <row r="15" spans="1:15" s="66" customFormat="1">
      <c r="A15" s="110" t="s">
        <v>20</v>
      </c>
      <c r="B15" s="86">
        <v>9</v>
      </c>
      <c r="C15" s="81" t="s">
        <v>86</v>
      </c>
      <c r="D15" s="87">
        <v>1</v>
      </c>
      <c r="E15" s="87">
        <f>D15</f>
        <v>1</v>
      </c>
      <c r="F15" s="87">
        <v>1</v>
      </c>
      <c r="G15" s="87">
        <v>0</v>
      </c>
      <c r="H15" s="86">
        <v>0</v>
      </c>
      <c r="I15" s="86">
        <v>0</v>
      </c>
      <c r="J15" s="86">
        <f t="shared" ref="J15" si="2">D15</f>
        <v>1</v>
      </c>
      <c r="K15" s="88">
        <f t="shared" si="0"/>
        <v>1.33</v>
      </c>
      <c r="L15" s="110">
        <f>SUM(K15:K22)</f>
        <v>15.39</v>
      </c>
    </row>
    <row r="16" spans="1:15" s="66" customFormat="1">
      <c r="A16" s="110"/>
      <c r="B16" s="86">
        <v>10</v>
      </c>
      <c r="C16" s="81" t="s">
        <v>87</v>
      </c>
      <c r="D16" s="87">
        <v>1</v>
      </c>
      <c r="E16" s="87">
        <f>D16</f>
        <v>1</v>
      </c>
      <c r="F16" s="87">
        <v>1</v>
      </c>
      <c r="G16" s="87">
        <f>D16</f>
        <v>1</v>
      </c>
      <c r="H16" s="86">
        <v>1</v>
      </c>
      <c r="I16" s="86">
        <f>D16</f>
        <v>1</v>
      </c>
      <c r="J16" s="86">
        <v>1</v>
      </c>
      <c r="K16" s="88">
        <f t="shared" si="0"/>
        <v>2.91</v>
      </c>
      <c r="L16" s="110"/>
    </row>
    <row r="17" spans="1:12" s="66" customFormat="1">
      <c r="A17" s="110"/>
      <c r="B17" s="86">
        <v>11</v>
      </c>
      <c r="C17" s="81" t="s">
        <v>88</v>
      </c>
      <c r="D17" s="87">
        <v>1</v>
      </c>
      <c r="E17" s="87">
        <v>0</v>
      </c>
      <c r="F17" s="87">
        <f t="shared" ref="F17:F21" si="3">D17</f>
        <v>1</v>
      </c>
      <c r="G17" s="87">
        <v>0</v>
      </c>
      <c r="H17" s="86">
        <v>0</v>
      </c>
      <c r="I17" s="86">
        <v>0</v>
      </c>
      <c r="J17" s="86">
        <v>0</v>
      </c>
      <c r="K17" s="88">
        <f t="shared" si="0"/>
        <v>0.5</v>
      </c>
      <c r="L17" s="110"/>
    </row>
    <row r="18" spans="1:12" s="66" customFormat="1">
      <c r="A18" s="110"/>
      <c r="B18" s="105">
        <v>12</v>
      </c>
      <c r="C18" s="81" t="s">
        <v>89</v>
      </c>
      <c r="D18" s="87">
        <v>1</v>
      </c>
      <c r="E18" s="87">
        <v>0</v>
      </c>
      <c r="F18" s="87">
        <f t="shared" si="3"/>
        <v>1</v>
      </c>
      <c r="G18" s="87">
        <v>0</v>
      </c>
      <c r="H18" s="86">
        <v>0</v>
      </c>
      <c r="I18" s="86">
        <v>0</v>
      </c>
      <c r="J18" s="86">
        <v>0</v>
      </c>
      <c r="K18" s="88">
        <f t="shared" si="0"/>
        <v>0.5</v>
      </c>
      <c r="L18" s="110"/>
    </row>
    <row r="19" spans="1:12" s="66" customFormat="1" ht="31.5">
      <c r="A19" s="110"/>
      <c r="B19" s="107">
        <v>13</v>
      </c>
      <c r="C19" s="81" t="s">
        <v>90</v>
      </c>
      <c r="D19" s="87">
        <v>1</v>
      </c>
      <c r="E19" s="87">
        <f t="shared" ref="E19" si="4">D19</f>
        <v>1</v>
      </c>
      <c r="F19" s="87">
        <f t="shared" si="3"/>
        <v>1</v>
      </c>
      <c r="G19" s="87">
        <v>0</v>
      </c>
      <c r="H19" s="86">
        <v>1</v>
      </c>
      <c r="I19" s="86">
        <v>0</v>
      </c>
      <c r="J19" s="86">
        <v>1</v>
      </c>
      <c r="K19" s="88">
        <f t="shared" si="0"/>
        <v>2.33</v>
      </c>
      <c r="L19" s="110"/>
    </row>
    <row r="20" spans="1:12" s="66" customFormat="1">
      <c r="A20" s="110"/>
      <c r="B20" s="86">
        <v>14</v>
      </c>
      <c r="C20" s="81" t="s">
        <v>91</v>
      </c>
      <c r="D20" s="87"/>
      <c r="E20" s="87">
        <v>1</v>
      </c>
      <c r="F20" s="87">
        <v>1</v>
      </c>
      <c r="G20" s="87">
        <v>1</v>
      </c>
      <c r="H20" s="86">
        <v>1</v>
      </c>
      <c r="I20" s="86">
        <v>0</v>
      </c>
      <c r="J20" s="86">
        <v>1</v>
      </c>
      <c r="K20" s="88">
        <f t="shared" si="0"/>
        <v>2.58</v>
      </c>
      <c r="L20" s="110"/>
    </row>
    <row r="21" spans="1:12" s="66" customFormat="1">
      <c r="A21" s="110"/>
      <c r="B21" s="107">
        <v>15</v>
      </c>
      <c r="C21" s="82" t="s">
        <v>163</v>
      </c>
      <c r="D21" s="87">
        <v>1</v>
      </c>
      <c r="E21" s="87">
        <v>1</v>
      </c>
      <c r="F21" s="87">
        <f t="shared" si="3"/>
        <v>1</v>
      </c>
      <c r="G21" s="87">
        <v>0</v>
      </c>
      <c r="H21" s="87">
        <v>1</v>
      </c>
      <c r="I21" s="87">
        <v>0</v>
      </c>
      <c r="J21" s="87">
        <f>D21</f>
        <v>1</v>
      </c>
      <c r="K21" s="88">
        <f t="shared" si="0"/>
        <v>2.33</v>
      </c>
      <c r="L21" s="110"/>
    </row>
    <row r="22" spans="1:12" s="66" customFormat="1" ht="31.5">
      <c r="A22" s="110"/>
      <c r="B22" s="86">
        <v>16</v>
      </c>
      <c r="C22" s="81" t="s">
        <v>94</v>
      </c>
      <c r="D22" s="87"/>
      <c r="E22" s="87">
        <v>1</v>
      </c>
      <c r="F22" s="87">
        <v>1</v>
      </c>
      <c r="G22" s="87">
        <v>1</v>
      </c>
      <c r="H22" s="87">
        <v>1</v>
      </c>
      <c r="I22" s="87">
        <v>1</v>
      </c>
      <c r="J22" s="87">
        <v>1</v>
      </c>
      <c r="K22" s="88">
        <f t="shared" si="0"/>
        <v>2.91</v>
      </c>
      <c r="L22" s="110"/>
    </row>
    <row r="23" spans="1:12" s="66" customFormat="1">
      <c r="A23" s="111" t="s">
        <v>21</v>
      </c>
      <c r="B23" s="86">
        <v>17</v>
      </c>
      <c r="C23" s="81" t="s">
        <v>122</v>
      </c>
      <c r="D23" s="87">
        <v>1</v>
      </c>
      <c r="E23" s="87">
        <v>0</v>
      </c>
      <c r="F23" s="87">
        <v>1</v>
      </c>
      <c r="G23" s="87">
        <f>D23</f>
        <v>1</v>
      </c>
      <c r="H23" s="86">
        <v>0</v>
      </c>
      <c r="I23" s="86">
        <v>0</v>
      </c>
      <c r="J23" s="86">
        <f>D23</f>
        <v>1</v>
      </c>
      <c r="K23" s="88">
        <f t="shared" si="0"/>
        <v>1.25</v>
      </c>
      <c r="L23" s="111">
        <f>SUM(K23:K33)</f>
        <v>19.28</v>
      </c>
    </row>
    <row r="24" spans="1:12" s="66" customFormat="1">
      <c r="A24" s="112"/>
      <c r="B24" s="107">
        <v>18</v>
      </c>
      <c r="C24" s="81" t="s">
        <v>109</v>
      </c>
      <c r="D24" s="87"/>
      <c r="E24" s="87">
        <v>1</v>
      </c>
      <c r="F24" s="87">
        <v>1</v>
      </c>
      <c r="G24" s="87">
        <v>1</v>
      </c>
      <c r="H24" s="86">
        <v>1</v>
      </c>
      <c r="I24" s="86">
        <v>1</v>
      </c>
      <c r="J24" s="86">
        <v>1</v>
      </c>
      <c r="K24" s="88">
        <f t="shared" si="0"/>
        <v>2.91</v>
      </c>
      <c r="L24" s="112"/>
    </row>
    <row r="25" spans="1:12" s="66" customFormat="1">
      <c r="A25" s="112"/>
      <c r="B25" s="107">
        <v>19</v>
      </c>
      <c r="C25" s="81" t="s">
        <v>123</v>
      </c>
      <c r="D25" s="87"/>
      <c r="E25" s="87">
        <v>1</v>
      </c>
      <c r="F25" s="87">
        <v>1</v>
      </c>
      <c r="G25" s="87">
        <v>0</v>
      </c>
      <c r="H25" s="86">
        <v>0</v>
      </c>
      <c r="I25" s="86">
        <v>0</v>
      </c>
      <c r="J25" s="86">
        <v>0</v>
      </c>
      <c r="K25" s="88">
        <f t="shared" si="0"/>
        <v>0.83000000000000007</v>
      </c>
      <c r="L25" s="112"/>
    </row>
    <row r="26" spans="1:12" s="66" customFormat="1">
      <c r="A26" s="112"/>
      <c r="B26" s="86">
        <v>20</v>
      </c>
      <c r="C26" s="81" t="s">
        <v>124</v>
      </c>
      <c r="D26" s="87"/>
      <c r="E26" s="87">
        <v>1</v>
      </c>
      <c r="F26" s="87">
        <v>1</v>
      </c>
      <c r="G26" s="87">
        <v>0</v>
      </c>
      <c r="H26" s="86">
        <v>1</v>
      </c>
      <c r="I26" s="86">
        <v>1</v>
      </c>
      <c r="J26" s="86">
        <v>0</v>
      </c>
      <c r="K26" s="88">
        <f t="shared" si="0"/>
        <v>2.16</v>
      </c>
      <c r="L26" s="112"/>
    </row>
    <row r="27" spans="1:12" s="66" customFormat="1">
      <c r="A27" s="112"/>
      <c r="B27" s="86">
        <v>21</v>
      </c>
      <c r="C27" s="81" t="s">
        <v>125</v>
      </c>
      <c r="D27" s="87"/>
      <c r="E27" s="87">
        <v>1</v>
      </c>
      <c r="F27" s="87">
        <v>1</v>
      </c>
      <c r="G27" s="87">
        <v>0</v>
      </c>
      <c r="H27" s="86">
        <v>1</v>
      </c>
      <c r="I27" s="86">
        <v>1</v>
      </c>
      <c r="J27" s="86">
        <v>0</v>
      </c>
      <c r="K27" s="88">
        <f t="shared" si="0"/>
        <v>2.16</v>
      </c>
      <c r="L27" s="112"/>
    </row>
    <row r="28" spans="1:12" s="66" customFormat="1">
      <c r="A28" s="112"/>
      <c r="B28" s="107">
        <v>22</v>
      </c>
      <c r="C28" s="81" t="s">
        <v>126</v>
      </c>
      <c r="D28" s="87">
        <v>1</v>
      </c>
      <c r="E28" s="87">
        <f t="shared" si="1"/>
        <v>1</v>
      </c>
      <c r="F28" s="87">
        <v>1</v>
      </c>
      <c r="G28" s="87">
        <v>0</v>
      </c>
      <c r="H28" s="86">
        <v>0</v>
      </c>
      <c r="I28" s="86">
        <v>0</v>
      </c>
      <c r="J28" s="86">
        <v>0</v>
      </c>
      <c r="K28" s="88">
        <f t="shared" si="0"/>
        <v>0.83000000000000007</v>
      </c>
      <c r="L28" s="112"/>
    </row>
    <row r="29" spans="1:12" s="66" customFormat="1" ht="31.5">
      <c r="A29" s="112"/>
      <c r="B29" s="107">
        <v>23</v>
      </c>
      <c r="C29" s="81" t="s">
        <v>110</v>
      </c>
      <c r="D29" s="87"/>
      <c r="E29" s="87">
        <v>1</v>
      </c>
      <c r="F29" s="87">
        <v>1</v>
      </c>
      <c r="G29" s="87">
        <v>0</v>
      </c>
      <c r="H29" s="86">
        <v>0</v>
      </c>
      <c r="I29" s="86">
        <v>1</v>
      </c>
      <c r="J29" s="86">
        <v>1</v>
      </c>
      <c r="K29" s="88">
        <f t="shared" si="0"/>
        <v>1.6600000000000001</v>
      </c>
      <c r="L29" s="112"/>
    </row>
    <row r="30" spans="1:12" s="66" customFormat="1" ht="31.5">
      <c r="A30" s="112"/>
      <c r="B30" s="86">
        <v>24</v>
      </c>
      <c r="C30" s="81" t="s">
        <v>95</v>
      </c>
      <c r="D30" s="87"/>
      <c r="E30" s="87">
        <v>1</v>
      </c>
      <c r="F30" s="87">
        <v>1</v>
      </c>
      <c r="G30" s="87">
        <v>0</v>
      </c>
      <c r="H30" s="86">
        <v>1</v>
      </c>
      <c r="I30" s="86">
        <v>0</v>
      </c>
      <c r="J30" s="86">
        <v>1</v>
      </c>
      <c r="K30" s="88">
        <f t="shared" si="0"/>
        <v>2.33</v>
      </c>
      <c r="L30" s="112"/>
    </row>
    <row r="31" spans="1:12" s="66" customFormat="1">
      <c r="A31" s="112"/>
      <c r="B31" s="86">
        <v>25</v>
      </c>
      <c r="C31" s="82" t="s">
        <v>111</v>
      </c>
      <c r="D31" s="87">
        <v>1</v>
      </c>
      <c r="E31" s="87">
        <f t="shared" si="1"/>
        <v>1</v>
      </c>
      <c r="F31" s="87">
        <v>1</v>
      </c>
      <c r="G31" s="87">
        <v>0</v>
      </c>
      <c r="H31" s="86">
        <v>0</v>
      </c>
      <c r="I31" s="86">
        <v>0</v>
      </c>
      <c r="J31" s="86">
        <v>0</v>
      </c>
      <c r="K31" s="88">
        <f t="shared" si="0"/>
        <v>0.83000000000000007</v>
      </c>
      <c r="L31" s="112"/>
    </row>
    <row r="32" spans="1:12" s="66" customFormat="1">
      <c r="A32" s="112"/>
      <c r="B32" s="107">
        <v>26</v>
      </c>
      <c r="C32" s="81" t="s">
        <v>127</v>
      </c>
      <c r="D32" s="87">
        <v>1</v>
      </c>
      <c r="E32" s="87">
        <f t="shared" si="1"/>
        <v>1</v>
      </c>
      <c r="F32" s="87">
        <f t="shared" ref="F32:F50" si="5">D32</f>
        <v>1</v>
      </c>
      <c r="G32" s="87">
        <v>0</v>
      </c>
      <c r="H32" s="87">
        <f>D32</f>
        <v>1</v>
      </c>
      <c r="I32" s="87">
        <f>D32</f>
        <v>1</v>
      </c>
      <c r="J32" s="86">
        <v>0</v>
      </c>
      <c r="K32" s="88">
        <f t="shared" si="0"/>
        <v>2.16</v>
      </c>
      <c r="L32" s="112"/>
    </row>
    <row r="33" spans="1:12" s="66" customFormat="1" ht="31.5">
      <c r="A33" s="112"/>
      <c r="B33" s="107">
        <v>27</v>
      </c>
      <c r="C33" s="81" t="s">
        <v>128</v>
      </c>
      <c r="D33" s="87">
        <v>1</v>
      </c>
      <c r="E33" s="87">
        <f t="shared" si="1"/>
        <v>1</v>
      </c>
      <c r="F33" s="87">
        <f t="shared" si="5"/>
        <v>1</v>
      </c>
      <c r="G33" s="87">
        <v>0</v>
      </c>
      <c r="H33" s="87">
        <f t="shared" ref="H33" si="6">D33</f>
        <v>1</v>
      </c>
      <c r="I33" s="87">
        <f>D33</f>
        <v>1</v>
      </c>
      <c r="J33" s="86">
        <v>0</v>
      </c>
      <c r="K33" s="88">
        <f t="shared" si="0"/>
        <v>2.16</v>
      </c>
      <c r="L33" s="112"/>
    </row>
    <row r="34" spans="1:12" s="66" customFormat="1">
      <c r="A34" s="110" t="s">
        <v>22</v>
      </c>
      <c r="B34" s="86">
        <v>28</v>
      </c>
      <c r="C34" s="81" t="s">
        <v>112</v>
      </c>
      <c r="D34" s="87">
        <v>1</v>
      </c>
      <c r="E34" s="87">
        <v>1</v>
      </c>
      <c r="F34" s="87">
        <f t="shared" si="5"/>
        <v>1</v>
      </c>
      <c r="G34" s="87">
        <v>0</v>
      </c>
      <c r="H34" s="86">
        <v>0</v>
      </c>
      <c r="I34" s="87">
        <v>1</v>
      </c>
      <c r="J34" s="86">
        <v>1</v>
      </c>
      <c r="K34" s="88">
        <f t="shared" si="0"/>
        <v>1.6600000000000001</v>
      </c>
      <c r="L34" s="110">
        <f>SUM(K34:K36)</f>
        <v>4.24</v>
      </c>
    </row>
    <row r="35" spans="1:12" s="66" customFormat="1">
      <c r="A35" s="110"/>
      <c r="B35" s="86">
        <v>29</v>
      </c>
      <c r="C35" s="81" t="s">
        <v>23</v>
      </c>
      <c r="D35" s="87"/>
      <c r="E35" s="87">
        <v>0</v>
      </c>
      <c r="F35" s="87">
        <v>1</v>
      </c>
      <c r="G35" s="87">
        <v>1</v>
      </c>
      <c r="H35" s="86">
        <v>0</v>
      </c>
      <c r="I35" s="87">
        <v>1</v>
      </c>
      <c r="J35" s="86">
        <v>1</v>
      </c>
      <c r="K35" s="88"/>
      <c r="L35" s="110"/>
    </row>
    <row r="36" spans="1:12" s="66" customFormat="1">
      <c r="A36" s="110"/>
      <c r="B36" s="107">
        <v>30</v>
      </c>
      <c r="C36" s="81" t="s">
        <v>113</v>
      </c>
      <c r="D36" s="87">
        <v>1</v>
      </c>
      <c r="E36" s="87">
        <f>D36</f>
        <v>1</v>
      </c>
      <c r="F36" s="87">
        <f t="shared" si="5"/>
        <v>1</v>
      </c>
      <c r="G36" s="87">
        <v>1</v>
      </c>
      <c r="H36" s="86">
        <v>1</v>
      </c>
      <c r="I36" s="87">
        <v>0</v>
      </c>
      <c r="J36" s="86">
        <v>1</v>
      </c>
      <c r="K36" s="88">
        <f t="shared" si="0"/>
        <v>2.58</v>
      </c>
      <c r="L36" s="110"/>
    </row>
    <row r="37" spans="1:12" s="66" customFormat="1">
      <c r="A37" s="110" t="s">
        <v>24</v>
      </c>
      <c r="B37" s="107">
        <v>31</v>
      </c>
      <c r="C37" s="81" t="s">
        <v>114</v>
      </c>
      <c r="D37" s="87">
        <v>1</v>
      </c>
      <c r="E37" s="87">
        <v>0</v>
      </c>
      <c r="F37" s="87">
        <f>D37</f>
        <v>1</v>
      </c>
      <c r="G37" s="87">
        <v>0</v>
      </c>
      <c r="H37" s="86">
        <v>0</v>
      </c>
      <c r="I37" s="86">
        <v>0</v>
      </c>
      <c r="J37" s="86">
        <v>0</v>
      </c>
      <c r="K37" s="88">
        <f t="shared" si="0"/>
        <v>0.5</v>
      </c>
      <c r="L37" s="110">
        <f>SUM(K37:K39)</f>
        <v>5.16</v>
      </c>
    </row>
    <row r="38" spans="1:12" s="66" customFormat="1" ht="31.5">
      <c r="A38" s="110"/>
      <c r="B38" s="86">
        <v>32</v>
      </c>
      <c r="C38" s="81" t="s">
        <v>102</v>
      </c>
      <c r="D38" s="87">
        <v>1</v>
      </c>
      <c r="E38" s="87">
        <f t="shared" ref="E38:E39" si="7">D38</f>
        <v>1</v>
      </c>
      <c r="F38" s="87">
        <f t="shared" si="5"/>
        <v>1</v>
      </c>
      <c r="G38" s="87">
        <v>0</v>
      </c>
      <c r="H38" s="86">
        <v>1</v>
      </c>
      <c r="I38" s="86">
        <v>0</v>
      </c>
      <c r="J38" s="86">
        <f>D38</f>
        <v>1</v>
      </c>
      <c r="K38" s="88">
        <f t="shared" si="0"/>
        <v>2.33</v>
      </c>
      <c r="L38" s="110"/>
    </row>
    <row r="39" spans="1:12" s="66" customFormat="1" ht="31.5">
      <c r="A39" s="110"/>
      <c r="B39" s="86">
        <v>33</v>
      </c>
      <c r="C39" s="81" t="s">
        <v>25</v>
      </c>
      <c r="D39" s="87">
        <v>1</v>
      </c>
      <c r="E39" s="87">
        <f t="shared" si="7"/>
        <v>1</v>
      </c>
      <c r="F39" s="87">
        <f t="shared" si="5"/>
        <v>1</v>
      </c>
      <c r="G39" s="87">
        <v>0</v>
      </c>
      <c r="H39" s="86">
        <v>1</v>
      </c>
      <c r="I39" s="86">
        <v>0</v>
      </c>
      <c r="J39" s="86">
        <f>D39</f>
        <v>1</v>
      </c>
      <c r="K39" s="88">
        <f t="shared" si="0"/>
        <v>2.33</v>
      </c>
      <c r="L39" s="110"/>
    </row>
    <row r="40" spans="1:12" s="66" customFormat="1">
      <c r="A40" s="110" t="s">
        <v>26</v>
      </c>
      <c r="B40" s="107">
        <v>34</v>
      </c>
      <c r="C40" s="81" t="s">
        <v>115</v>
      </c>
      <c r="D40" s="87">
        <v>1</v>
      </c>
      <c r="E40" s="87">
        <v>1</v>
      </c>
      <c r="F40" s="87">
        <f t="shared" si="5"/>
        <v>1</v>
      </c>
      <c r="G40" s="87">
        <f>D40</f>
        <v>1</v>
      </c>
      <c r="H40" s="86">
        <v>1</v>
      </c>
      <c r="I40" s="86">
        <f>D40</f>
        <v>1</v>
      </c>
      <c r="J40" s="86">
        <f t="shared" ref="J40" si="8">D40</f>
        <v>1</v>
      </c>
      <c r="K40" s="88">
        <f t="shared" si="0"/>
        <v>2.91</v>
      </c>
      <c r="L40" s="110">
        <f>SUM(K40:K52)</f>
        <v>26.779999999999998</v>
      </c>
    </row>
    <row r="41" spans="1:12" s="66" customFormat="1">
      <c r="A41" s="110"/>
      <c r="B41" s="107">
        <v>35</v>
      </c>
      <c r="C41" s="81" t="s">
        <v>103</v>
      </c>
      <c r="D41" s="87"/>
      <c r="E41" s="87">
        <v>1</v>
      </c>
      <c r="F41" s="87">
        <v>1</v>
      </c>
      <c r="G41" s="87">
        <v>1</v>
      </c>
      <c r="H41" s="86">
        <v>1</v>
      </c>
      <c r="I41" s="86">
        <v>1</v>
      </c>
      <c r="J41" s="86">
        <v>1</v>
      </c>
      <c r="K41" s="88">
        <f t="shared" si="0"/>
        <v>2.91</v>
      </c>
      <c r="L41" s="110"/>
    </row>
    <row r="42" spans="1:12" s="66" customFormat="1">
      <c r="A42" s="110"/>
      <c r="B42" s="86">
        <v>36</v>
      </c>
      <c r="C42" s="81" t="s">
        <v>104</v>
      </c>
      <c r="D42" s="87"/>
      <c r="E42" s="87">
        <v>1</v>
      </c>
      <c r="F42" s="87">
        <v>1</v>
      </c>
      <c r="G42" s="87">
        <v>1</v>
      </c>
      <c r="H42" s="86">
        <v>1</v>
      </c>
      <c r="I42" s="86">
        <v>1</v>
      </c>
      <c r="J42" s="86">
        <v>1</v>
      </c>
      <c r="K42" s="88">
        <f t="shared" si="0"/>
        <v>2.91</v>
      </c>
      <c r="L42" s="110"/>
    </row>
    <row r="43" spans="1:12" s="66" customFormat="1">
      <c r="A43" s="110"/>
      <c r="B43" s="86">
        <v>37</v>
      </c>
      <c r="C43" s="81" t="s">
        <v>116</v>
      </c>
      <c r="D43" s="87"/>
      <c r="E43" s="87">
        <v>1</v>
      </c>
      <c r="F43" s="87">
        <v>1</v>
      </c>
      <c r="G43" s="87">
        <v>1</v>
      </c>
      <c r="H43" s="86">
        <v>1</v>
      </c>
      <c r="I43" s="86">
        <v>1</v>
      </c>
      <c r="J43" s="86">
        <v>1</v>
      </c>
      <c r="K43" s="88">
        <f t="shared" si="0"/>
        <v>2.91</v>
      </c>
      <c r="L43" s="110"/>
    </row>
    <row r="44" spans="1:12" s="66" customFormat="1">
      <c r="A44" s="110"/>
      <c r="B44" s="107">
        <v>38</v>
      </c>
      <c r="C44" s="81" t="s">
        <v>117</v>
      </c>
      <c r="D44" s="87"/>
      <c r="E44" s="87">
        <v>1</v>
      </c>
      <c r="F44" s="87">
        <v>0</v>
      </c>
      <c r="G44" s="87">
        <v>1</v>
      </c>
      <c r="H44" s="86">
        <v>1</v>
      </c>
      <c r="I44" s="86">
        <v>1</v>
      </c>
      <c r="J44" s="86">
        <v>1</v>
      </c>
      <c r="K44" s="88">
        <f t="shared" si="0"/>
        <v>2.41</v>
      </c>
      <c r="L44" s="110"/>
    </row>
    <row r="45" spans="1:12" s="66" customFormat="1">
      <c r="A45" s="110"/>
      <c r="B45" s="107">
        <v>39</v>
      </c>
      <c r="C45" s="81" t="s">
        <v>118</v>
      </c>
      <c r="D45" s="87"/>
      <c r="E45" s="87">
        <v>1</v>
      </c>
      <c r="F45" s="87">
        <v>1</v>
      </c>
      <c r="G45" s="87">
        <v>1</v>
      </c>
      <c r="H45" s="86">
        <v>1</v>
      </c>
      <c r="I45" s="86">
        <v>0</v>
      </c>
      <c r="J45" s="86">
        <v>1</v>
      </c>
      <c r="K45" s="88">
        <f t="shared" si="0"/>
        <v>2.58</v>
      </c>
      <c r="L45" s="110"/>
    </row>
    <row r="46" spans="1:12" s="66" customFormat="1" ht="31.5">
      <c r="A46" s="110"/>
      <c r="B46" s="86">
        <v>40</v>
      </c>
      <c r="C46" s="81" t="s">
        <v>119</v>
      </c>
      <c r="D46" s="87"/>
      <c r="E46" s="87">
        <v>1</v>
      </c>
      <c r="F46" s="87">
        <v>1</v>
      </c>
      <c r="G46" s="87">
        <v>0</v>
      </c>
      <c r="H46" s="86">
        <v>1</v>
      </c>
      <c r="I46" s="86">
        <v>0</v>
      </c>
      <c r="J46" s="86">
        <v>1</v>
      </c>
      <c r="K46" s="88">
        <f t="shared" si="0"/>
        <v>2.33</v>
      </c>
      <c r="L46" s="110"/>
    </row>
    <row r="47" spans="1:12" s="66" customFormat="1" ht="31.5">
      <c r="A47" s="110"/>
      <c r="B47" s="86">
        <v>41</v>
      </c>
      <c r="C47" s="81" t="s">
        <v>129</v>
      </c>
      <c r="D47" s="87"/>
      <c r="E47" s="87">
        <v>0</v>
      </c>
      <c r="F47" s="87">
        <v>1</v>
      </c>
      <c r="G47" s="87">
        <v>0</v>
      </c>
      <c r="H47" s="86">
        <v>0</v>
      </c>
      <c r="I47" s="86">
        <v>0</v>
      </c>
      <c r="J47" s="86">
        <v>0</v>
      </c>
      <c r="K47" s="88">
        <f t="shared" si="0"/>
        <v>0.5</v>
      </c>
      <c r="L47" s="110"/>
    </row>
    <row r="48" spans="1:12" s="66" customFormat="1" ht="31.5">
      <c r="A48" s="110"/>
      <c r="B48" s="107">
        <v>42</v>
      </c>
      <c r="C48" s="81" t="s">
        <v>130</v>
      </c>
      <c r="D48" s="87"/>
      <c r="E48" s="87">
        <v>0</v>
      </c>
      <c r="F48" s="87">
        <v>1</v>
      </c>
      <c r="G48" s="87">
        <v>0</v>
      </c>
      <c r="H48" s="86">
        <v>0</v>
      </c>
      <c r="I48" s="86">
        <v>0</v>
      </c>
      <c r="J48" s="86">
        <v>0</v>
      </c>
      <c r="K48" s="88">
        <f t="shared" si="0"/>
        <v>0.5</v>
      </c>
      <c r="L48" s="110"/>
    </row>
    <row r="49" spans="1:12" s="66" customFormat="1" ht="31.5">
      <c r="A49" s="110"/>
      <c r="B49" s="107">
        <v>43</v>
      </c>
      <c r="C49" s="81" t="s">
        <v>131</v>
      </c>
      <c r="D49" s="87"/>
      <c r="E49" s="87">
        <v>0</v>
      </c>
      <c r="F49" s="87">
        <v>1</v>
      </c>
      <c r="G49" s="87">
        <v>0</v>
      </c>
      <c r="H49" s="86">
        <v>0</v>
      </c>
      <c r="I49" s="86">
        <v>0</v>
      </c>
      <c r="J49" s="86">
        <v>0</v>
      </c>
      <c r="K49" s="88">
        <f t="shared" si="0"/>
        <v>0.5</v>
      </c>
      <c r="L49" s="110"/>
    </row>
    <row r="50" spans="1:12" s="66" customFormat="1">
      <c r="A50" s="110"/>
      <c r="B50" s="86">
        <v>44</v>
      </c>
      <c r="C50" s="81" t="s">
        <v>132</v>
      </c>
      <c r="D50" s="87">
        <v>1</v>
      </c>
      <c r="E50" s="87">
        <v>0</v>
      </c>
      <c r="F50" s="87">
        <f t="shared" si="5"/>
        <v>1</v>
      </c>
      <c r="G50" s="87">
        <f t="shared" ref="G50:G52" si="9">D50</f>
        <v>1</v>
      </c>
      <c r="H50" s="86">
        <v>0</v>
      </c>
      <c r="I50" s="86">
        <f t="shared" ref="I50:I52" si="10">D50</f>
        <v>1</v>
      </c>
      <c r="J50" s="86">
        <v>0</v>
      </c>
      <c r="K50" s="88">
        <f t="shared" si="0"/>
        <v>1.08</v>
      </c>
      <c r="L50" s="110"/>
    </row>
    <row r="51" spans="1:12" s="66" customFormat="1" ht="31.5">
      <c r="A51" s="110"/>
      <c r="B51" s="86">
        <v>45</v>
      </c>
      <c r="C51" s="81" t="s">
        <v>120</v>
      </c>
      <c r="D51" s="87"/>
      <c r="E51" s="87">
        <v>1</v>
      </c>
      <c r="F51" s="87">
        <v>1</v>
      </c>
      <c r="G51" s="87">
        <v>0</v>
      </c>
      <c r="H51" s="86">
        <v>1</v>
      </c>
      <c r="I51" s="86">
        <v>0</v>
      </c>
      <c r="J51" s="86">
        <v>1</v>
      </c>
      <c r="K51" s="88">
        <f t="shared" si="0"/>
        <v>2.33</v>
      </c>
      <c r="L51" s="110"/>
    </row>
    <row r="52" spans="1:12" s="66" customFormat="1">
      <c r="A52" s="110"/>
      <c r="B52" s="86">
        <v>46</v>
      </c>
      <c r="C52" s="82" t="s">
        <v>105</v>
      </c>
      <c r="D52" s="87">
        <v>1</v>
      </c>
      <c r="E52" s="87">
        <v>1</v>
      </c>
      <c r="F52" s="87">
        <v>1</v>
      </c>
      <c r="G52" s="87">
        <f t="shared" si="9"/>
        <v>1</v>
      </c>
      <c r="H52" s="86">
        <v>1</v>
      </c>
      <c r="I52" s="86">
        <f t="shared" si="10"/>
        <v>1</v>
      </c>
      <c r="J52" s="86">
        <f>D52</f>
        <v>1</v>
      </c>
      <c r="K52" s="88">
        <f t="shared" si="0"/>
        <v>2.91</v>
      </c>
      <c r="L52" s="110"/>
    </row>
    <row r="53" spans="1:12" s="66" customFormat="1" ht="15.75" customHeight="1">
      <c r="A53" s="111" t="s">
        <v>27</v>
      </c>
      <c r="B53" s="114" t="s">
        <v>28</v>
      </c>
      <c r="C53" s="115"/>
      <c r="D53" s="116"/>
      <c r="E53" s="96">
        <f t="shared" ref="E53:J53" si="11">SUM(E6:E52)</f>
        <v>37</v>
      </c>
      <c r="F53" s="96">
        <f t="shared" si="11"/>
        <v>43</v>
      </c>
      <c r="G53" s="96">
        <f t="shared" si="11"/>
        <v>15</v>
      </c>
      <c r="H53" s="96">
        <f t="shared" si="11"/>
        <v>25</v>
      </c>
      <c r="I53" s="96">
        <f t="shared" si="11"/>
        <v>17</v>
      </c>
      <c r="J53" s="96">
        <f t="shared" si="11"/>
        <v>26</v>
      </c>
      <c r="K53" s="88">
        <f>SUM(E53:J53)</f>
        <v>163</v>
      </c>
      <c r="L53" s="117"/>
    </row>
    <row r="54" spans="1:12" s="66" customFormat="1" ht="15.75" customHeight="1">
      <c r="A54" s="112"/>
      <c r="B54" s="114" t="s">
        <v>29</v>
      </c>
      <c r="C54" s="115"/>
      <c r="D54" s="116"/>
      <c r="E54" s="108">
        <f>E53+F53+G53</f>
        <v>95</v>
      </c>
      <c r="F54" s="108"/>
      <c r="G54" s="108"/>
      <c r="H54" s="108">
        <f>H53+I53+J53</f>
        <v>68</v>
      </c>
      <c r="I54" s="108"/>
      <c r="J54" s="108"/>
      <c r="K54" s="88">
        <f>SUM(E54:J54)</f>
        <v>163</v>
      </c>
      <c r="L54" s="118"/>
    </row>
    <row r="55" spans="1:12" s="66" customFormat="1">
      <c r="A55" s="112"/>
      <c r="B55" s="120" t="s">
        <v>30</v>
      </c>
      <c r="C55" s="121"/>
      <c r="D55" s="122"/>
      <c r="E55" s="85">
        <f t="shared" ref="E55:J55" si="12">E53*E4</f>
        <v>12.21</v>
      </c>
      <c r="F55" s="85">
        <f t="shared" si="12"/>
        <v>21.5</v>
      </c>
      <c r="G55" s="85">
        <f t="shared" si="12"/>
        <v>3.75</v>
      </c>
      <c r="H55" s="85">
        <f t="shared" si="12"/>
        <v>25</v>
      </c>
      <c r="I55" s="85">
        <f t="shared" si="12"/>
        <v>5.61</v>
      </c>
      <c r="J55" s="85">
        <f t="shared" si="12"/>
        <v>13</v>
      </c>
      <c r="K55" s="88">
        <f>SUM(E55:J55)</f>
        <v>81.070000000000007</v>
      </c>
      <c r="L55" s="118"/>
    </row>
    <row r="56" spans="1:12" s="66" customFormat="1">
      <c r="A56" s="113"/>
      <c r="B56" s="120" t="s">
        <v>31</v>
      </c>
      <c r="C56" s="121"/>
      <c r="D56" s="122"/>
      <c r="E56" s="108">
        <f>E55+F55+G55</f>
        <v>37.46</v>
      </c>
      <c r="F56" s="108"/>
      <c r="G56" s="108"/>
      <c r="H56" s="108">
        <f>H55+I55+J55</f>
        <v>43.61</v>
      </c>
      <c r="I56" s="108"/>
      <c r="J56" s="108"/>
      <c r="K56" s="88">
        <f>SUM(E56:J56)</f>
        <v>81.069999999999993</v>
      </c>
      <c r="L56" s="119"/>
    </row>
    <row r="57" spans="1:12" s="66" customFormat="1">
      <c r="A57" s="97"/>
      <c r="B57" s="98"/>
      <c r="C57" s="90"/>
      <c r="D57" s="99"/>
      <c r="E57" s="90"/>
      <c r="F57" s="90"/>
      <c r="G57" s="90"/>
      <c r="H57" s="90"/>
      <c r="I57" s="90"/>
      <c r="J57" s="90"/>
      <c r="K57" s="100"/>
      <c r="L57" s="97"/>
    </row>
    <row r="58" spans="1:12" s="66" customFormat="1">
      <c r="A58" s="97"/>
      <c r="B58" s="98"/>
      <c r="C58" s="90"/>
      <c r="D58" s="99"/>
      <c r="E58" s="109"/>
      <c r="F58" s="109"/>
      <c r="G58" s="109"/>
      <c r="H58" s="109"/>
      <c r="I58" s="109"/>
      <c r="J58" s="109"/>
      <c r="K58" s="100"/>
      <c r="L58" s="97"/>
    </row>
    <row r="59" spans="1:12" s="66" customFormat="1">
      <c r="A59" s="72"/>
      <c r="B59" s="75"/>
      <c r="D59" s="76"/>
      <c r="K59" s="71"/>
      <c r="L59" s="72"/>
    </row>
    <row r="60" spans="1:12" s="66" customFormat="1">
      <c r="A60" s="72"/>
      <c r="B60" s="75"/>
      <c r="D60" s="76"/>
      <c r="K60" s="71"/>
      <c r="L60" s="72"/>
    </row>
    <row r="61" spans="1:12" s="66" customFormat="1">
      <c r="A61" s="72"/>
      <c r="B61" s="75"/>
      <c r="D61" s="76"/>
      <c r="K61" s="71"/>
      <c r="L61" s="72"/>
    </row>
    <row r="62" spans="1:12" s="66" customFormat="1">
      <c r="A62" s="72"/>
      <c r="B62" s="75"/>
      <c r="D62" s="76"/>
      <c r="K62" s="71"/>
      <c r="L62" s="72"/>
    </row>
    <row r="63" spans="1:12" s="66" customFormat="1">
      <c r="A63" s="72"/>
      <c r="B63" s="75"/>
      <c r="D63" s="76"/>
      <c r="K63" s="71"/>
      <c r="L63" s="72"/>
    </row>
    <row r="64" spans="1:12" s="66" customFormat="1">
      <c r="A64" s="72"/>
      <c r="B64" s="75"/>
      <c r="D64" s="76"/>
      <c r="K64" s="71"/>
      <c r="L64" s="72"/>
    </row>
    <row r="65" spans="1:12" s="66" customFormat="1">
      <c r="A65" s="72"/>
      <c r="B65" s="75"/>
      <c r="D65" s="76"/>
      <c r="K65" s="71"/>
      <c r="L65" s="72"/>
    </row>
    <row r="66" spans="1:12" s="66" customFormat="1">
      <c r="A66" s="72"/>
      <c r="B66" s="75"/>
      <c r="D66" s="76"/>
      <c r="K66" s="71"/>
      <c r="L66" s="72"/>
    </row>
    <row r="67" spans="1:12" s="66" customFormat="1">
      <c r="A67" s="72"/>
      <c r="B67" s="75"/>
      <c r="D67" s="76"/>
      <c r="K67" s="71"/>
      <c r="L67" s="72"/>
    </row>
    <row r="68" spans="1:12" s="66" customFormat="1">
      <c r="A68" s="72"/>
      <c r="B68" s="75"/>
      <c r="D68" s="76"/>
      <c r="K68" s="71"/>
      <c r="L68" s="72"/>
    </row>
    <row r="69" spans="1:12" s="66" customFormat="1">
      <c r="A69" s="72"/>
      <c r="B69" s="75"/>
      <c r="D69" s="76"/>
      <c r="K69" s="71"/>
      <c r="L69" s="72"/>
    </row>
    <row r="70" spans="1:12" s="66" customFormat="1">
      <c r="A70" s="72"/>
      <c r="B70" s="75"/>
      <c r="D70" s="76"/>
      <c r="K70" s="71"/>
      <c r="L70" s="72"/>
    </row>
    <row r="71" spans="1:12" s="66" customFormat="1">
      <c r="A71" s="72"/>
      <c r="B71" s="75"/>
      <c r="D71" s="76"/>
      <c r="K71" s="71"/>
      <c r="L71" s="72"/>
    </row>
    <row r="72" spans="1:12" s="66" customFormat="1">
      <c r="A72" s="72"/>
      <c r="B72" s="75"/>
      <c r="D72" s="76"/>
      <c r="K72" s="71"/>
      <c r="L72" s="72"/>
    </row>
    <row r="73" spans="1:12" s="66" customFormat="1">
      <c r="A73" s="72"/>
      <c r="B73" s="75"/>
      <c r="D73" s="76"/>
      <c r="K73" s="71"/>
      <c r="L73" s="72"/>
    </row>
    <row r="74" spans="1:12" s="66" customFormat="1">
      <c r="A74" s="72"/>
      <c r="B74" s="75"/>
      <c r="D74" s="76"/>
      <c r="K74" s="71"/>
      <c r="L74" s="72"/>
    </row>
    <row r="75" spans="1:12" s="66" customFormat="1">
      <c r="A75" s="72"/>
      <c r="B75" s="75"/>
      <c r="D75" s="76"/>
      <c r="K75" s="71"/>
      <c r="L75" s="72"/>
    </row>
    <row r="76" spans="1:12" s="66" customFormat="1">
      <c r="A76" s="72"/>
      <c r="B76" s="75"/>
      <c r="D76" s="76"/>
      <c r="K76" s="71"/>
      <c r="L76" s="72"/>
    </row>
    <row r="77" spans="1:12" s="66" customFormat="1">
      <c r="A77" s="72"/>
      <c r="B77" s="75"/>
      <c r="D77" s="76"/>
      <c r="K77" s="71"/>
      <c r="L77" s="72"/>
    </row>
    <row r="78" spans="1:12" s="66" customFormat="1">
      <c r="A78" s="72"/>
      <c r="B78" s="75"/>
      <c r="D78" s="76"/>
      <c r="K78" s="71"/>
      <c r="L78" s="72"/>
    </row>
    <row r="79" spans="1:12" s="66" customFormat="1">
      <c r="A79" s="72"/>
      <c r="B79" s="75"/>
      <c r="D79" s="76"/>
      <c r="K79" s="71"/>
      <c r="L79" s="72"/>
    </row>
    <row r="80" spans="1:12" s="66" customFormat="1">
      <c r="A80" s="72"/>
      <c r="B80" s="75"/>
      <c r="D80" s="76"/>
      <c r="K80" s="71"/>
      <c r="L80" s="72"/>
    </row>
    <row r="81" spans="1:12" s="66" customFormat="1">
      <c r="A81" s="72"/>
      <c r="B81" s="75"/>
      <c r="D81" s="76"/>
      <c r="K81" s="71"/>
      <c r="L81" s="72"/>
    </row>
    <row r="82" spans="1:12" s="66" customFormat="1">
      <c r="A82" s="72"/>
      <c r="B82" s="75"/>
      <c r="D82" s="76"/>
      <c r="K82" s="71"/>
      <c r="L82" s="72"/>
    </row>
    <row r="83" spans="1:12" s="66" customFormat="1">
      <c r="A83" s="72"/>
      <c r="B83" s="75"/>
      <c r="D83" s="76"/>
      <c r="K83" s="71"/>
      <c r="L83" s="72"/>
    </row>
    <row r="84" spans="1:12" s="66" customFormat="1">
      <c r="A84" s="72"/>
      <c r="B84" s="75"/>
      <c r="D84" s="76"/>
      <c r="K84" s="71"/>
      <c r="L84" s="72"/>
    </row>
    <row r="85" spans="1:12" s="66" customFormat="1">
      <c r="A85" s="72"/>
      <c r="B85" s="75"/>
      <c r="D85" s="76"/>
      <c r="K85" s="71"/>
      <c r="L85" s="72"/>
    </row>
    <row r="86" spans="1:12" s="66" customFormat="1">
      <c r="A86" s="72"/>
      <c r="B86" s="75"/>
      <c r="D86" s="76"/>
      <c r="K86" s="71"/>
      <c r="L86" s="72"/>
    </row>
    <row r="87" spans="1:12" s="66" customFormat="1">
      <c r="A87" s="72"/>
      <c r="B87" s="75"/>
      <c r="D87" s="76"/>
      <c r="K87" s="71"/>
      <c r="L87" s="72"/>
    </row>
    <row r="88" spans="1:12" s="66" customFormat="1">
      <c r="A88" s="72"/>
      <c r="B88" s="75"/>
      <c r="D88" s="76"/>
      <c r="K88" s="71"/>
      <c r="L88" s="72"/>
    </row>
    <row r="89" spans="1:12" s="66" customFormat="1">
      <c r="A89" s="72"/>
      <c r="B89" s="75"/>
      <c r="D89" s="76"/>
      <c r="K89" s="71"/>
      <c r="L89" s="72"/>
    </row>
    <row r="90" spans="1:12" s="66" customFormat="1">
      <c r="A90" s="72"/>
      <c r="B90" s="75"/>
      <c r="D90" s="76"/>
      <c r="K90" s="71"/>
      <c r="L90" s="72"/>
    </row>
    <row r="91" spans="1:12" s="66" customFormat="1">
      <c r="A91" s="72"/>
      <c r="B91" s="75"/>
      <c r="D91" s="76"/>
      <c r="K91" s="71"/>
      <c r="L91" s="72"/>
    </row>
    <row r="92" spans="1:12" s="66" customFormat="1">
      <c r="A92" s="72"/>
      <c r="B92" s="75"/>
      <c r="D92" s="76"/>
      <c r="K92" s="71"/>
      <c r="L92" s="72"/>
    </row>
    <row r="93" spans="1:12" s="66" customFormat="1">
      <c r="A93" s="72"/>
      <c r="B93" s="75"/>
      <c r="D93" s="76"/>
      <c r="K93" s="71"/>
      <c r="L93" s="72"/>
    </row>
    <row r="94" spans="1:12" s="66" customFormat="1">
      <c r="A94" s="72"/>
      <c r="B94" s="75"/>
      <c r="D94" s="76"/>
      <c r="K94" s="71"/>
      <c r="L94" s="72"/>
    </row>
    <row r="95" spans="1:12" s="66" customFormat="1">
      <c r="A95" s="72"/>
      <c r="B95" s="75"/>
      <c r="D95" s="76"/>
      <c r="K95" s="71"/>
      <c r="L95" s="72"/>
    </row>
    <row r="96" spans="1:12" s="66" customFormat="1">
      <c r="A96" s="72"/>
      <c r="B96" s="75"/>
      <c r="D96" s="76"/>
      <c r="K96" s="71"/>
      <c r="L96" s="72"/>
    </row>
    <row r="97" spans="1:12" s="66" customFormat="1">
      <c r="A97" s="72"/>
      <c r="B97" s="75"/>
      <c r="D97" s="76"/>
      <c r="K97" s="71"/>
      <c r="L97" s="72"/>
    </row>
    <row r="98" spans="1:12" s="66" customFormat="1">
      <c r="A98" s="72"/>
      <c r="B98" s="75"/>
      <c r="D98" s="76"/>
      <c r="K98" s="71"/>
      <c r="L98" s="72"/>
    </row>
    <row r="99" spans="1:12" s="66" customFormat="1">
      <c r="A99" s="72"/>
      <c r="B99" s="75"/>
      <c r="D99" s="76"/>
      <c r="K99" s="71"/>
      <c r="L99" s="72"/>
    </row>
    <row r="100" spans="1:12" s="66" customFormat="1">
      <c r="A100" s="72"/>
      <c r="B100" s="75"/>
      <c r="D100" s="76"/>
      <c r="K100" s="71"/>
      <c r="L100" s="72"/>
    </row>
    <row r="101" spans="1:12" s="66" customFormat="1">
      <c r="A101" s="72"/>
      <c r="B101" s="75"/>
      <c r="D101" s="76"/>
      <c r="K101" s="71"/>
      <c r="L101" s="72"/>
    </row>
    <row r="102" spans="1:12" s="66" customFormat="1">
      <c r="A102" s="72"/>
      <c r="B102" s="75"/>
      <c r="D102" s="76"/>
      <c r="K102" s="71"/>
      <c r="L102" s="72"/>
    </row>
    <row r="103" spans="1:12" s="66" customFormat="1">
      <c r="A103" s="72"/>
      <c r="B103" s="75"/>
      <c r="D103" s="76"/>
      <c r="K103" s="71"/>
      <c r="L103" s="72"/>
    </row>
    <row r="104" spans="1:12" s="66" customFormat="1">
      <c r="A104" s="72"/>
      <c r="B104" s="75"/>
      <c r="D104" s="76"/>
      <c r="K104" s="71"/>
      <c r="L104" s="72"/>
    </row>
    <row r="105" spans="1:12" s="66" customFormat="1">
      <c r="A105" s="72"/>
      <c r="B105" s="75"/>
      <c r="D105" s="76"/>
      <c r="K105" s="71"/>
      <c r="L105" s="72"/>
    </row>
    <row r="106" spans="1:12" s="66" customFormat="1">
      <c r="A106" s="72"/>
      <c r="B106" s="75"/>
      <c r="D106" s="76"/>
      <c r="K106" s="71"/>
      <c r="L106" s="72"/>
    </row>
    <row r="107" spans="1:12" s="66" customFormat="1">
      <c r="A107" s="72"/>
      <c r="B107" s="75"/>
      <c r="D107" s="76"/>
      <c r="K107" s="71"/>
      <c r="L107" s="72"/>
    </row>
    <row r="108" spans="1:12" s="66" customFormat="1">
      <c r="A108" s="72"/>
      <c r="B108" s="75"/>
      <c r="D108" s="76"/>
      <c r="K108" s="71"/>
      <c r="L108" s="72"/>
    </row>
    <row r="109" spans="1:12" s="66" customFormat="1">
      <c r="A109" s="72"/>
      <c r="B109" s="75"/>
      <c r="D109" s="76"/>
      <c r="K109" s="71"/>
      <c r="L109" s="72"/>
    </row>
    <row r="110" spans="1:12" s="66" customFormat="1">
      <c r="A110" s="72"/>
      <c r="B110" s="75"/>
      <c r="D110" s="76"/>
      <c r="K110" s="71"/>
      <c r="L110" s="72"/>
    </row>
    <row r="111" spans="1:12" s="66" customFormat="1">
      <c r="A111" s="72"/>
      <c r="B111" s="75"/>
      <c r="D111" s="76"/>
      <c r="K111" s="71"/>
      <c r="L111" s="72"/>
    </row>
    <row r="112" spans="1:12" s="66" customFormat="1">
      <c r="A112" s="72"/>
      <c r="B112" s="75"/>
      <c r="D112" s="76"/>
      <c r="K112" s="71"/>
      <c r="L112" s="72"/>
    </row>
    <row r="113" spans="1:12" s="66" customFormat="1">
      <c r="A113" s="72"/>
      <c r="B113" s="75"/>
      <c r="D113" s="76"/>
      <c r="K113" s="71"/>
      <c r="L113" s="72"/>
    </row>
    <row r="114" spans="1:12" s="66" customFormat="1">
      <c r="A114" s="72"/>
      <c r="B114" s="75"/>
      <c r="D114" s="76"/>
      <c r="K114" s="71"/>
      <c r="L114" s="72"/>
    </row>
    <row r="115" spans="1:12" s="66" customFormat="1">
      <c r="A115" s="72"/>
      <c r="B115" s="75"/>
      <c r="D115" s="76"/>
      <c r="K115" s="71"/>
      <c r="L115" s="72"/>
    </row>
    <row r="116" spans="1:12" s="66" customFormat="1">
      <c r="A116" s="72"/>
      <c r="B116" s="75"/>
      <c r="D116" s="76"/>
      <c r="K116" s="71"/>
      <c r="L116" s="72"/>
    </row>
    <row r="117" spans="1:12" s="66" customFormat="1">
      <c r="A117" s="72"/>
      <c r="B117" s="75"/>
      <c r="D117" s="76"/>
      <c r="K117" s="71"/>
      <c r="L117" s="72"/>
    </row>
    <row r="118" spans="1:12" s="66" customFormat="1">
      <c r="A118" s="72"/>
      <c r="B118" s="75"/>
      <c r="D118" s="76"/>
      <c r="K118" s="71"/>
      <c r="L118" s="72"/>
    </row>
    <row r="119" spans="1:12" s="66" customFormat="1">
      <c r="A119" s="72"/>
      <c r="B119" s="75"/>
      <c r="D119" s="76"/>
      <c r="K119" s="71"/>
      <c r="L119" s="72"/>
    </row>
    <row r="120" spans="1:12" s="66" customFormat="1">
      <c r="A120" s="72"/>
      <c r="B120" s="75"/>
      <c r="D120" s="76"/>
      <c r="K120" s="71"/>
      <c r="L120" s="72"/>
    </row>
    <row r="121" spans="1:12" s="66" customFormat="1">
      <c r="A121" s="72"/>
      <c r="B121" s="75"/>
      <c r="D121" s="76"/>
      <c r="K121" s="71"/>
      <c r="L121" s="72"/>
    </row>
    <row r="122" spans="1:12" s="66" customFormat="1">
      <c r="A122" s="72"/>
      <c r="B122" s="75"/>
      <c r="D122" s="76"/>
      <c r="K122" s="71"/>
      <c r="L122" s="72"/>
    </row>
    <row r="123" spans="1:12" s="66" customFormat="1">
      <c r="A123" s="72"/>
      <c r="B123" s="75"/>
      <c r="D123" s="76"/>
      <c r="K123" s="71"/>
      <c r="L123" s="72"/>
    </row>
    <row r="124" spans="1:12" s="66" customFormat="1">
      <c r="A124" s="72"/>
      <c r="B124" s="75"/>
      <c r="D124" s="76"/>
      <c r="K124" s="71"/>
      <c r="L124" s="72"/>
    </row>
    <row r="125" spans="1:12" s="66" customFormat="1">
      <c r="A125" s="72"/>
      <c r="B125" s="75"/>
      <c r="D125" s="76"/>
      <c r="K125" s="71"/>
      <c r="L125" s="72"/>
    </row>
    <row r="126" spans="1:12" s="66" customFormat="1">
      <c r="A126" s="72"/>
      <c r="B126" s="75"/>
      <c r="D126" s="76"/>
      <c r="K126" s="71"/>
      <c r="L126" s="72"/>
    </row>
    <row r="127" spans="1:12" s="66" customFormat="1">
      <c r="A127" s="72"/>
      <c r="B127" s="75"/>
      <c r="D127" s="76"/>
      <c r="K127" s="71"/>
      <c r="L127" s="72"/>
    </row>
    <row r="128" spans="1:12" s="66" customFormat="1">
      <c r="A128" s="72"/>
      <c r="B128" s="75"/>
      <c r="D128" s="76"/>
      <c r="K128" s="71"/>
      <c r="L128" s="72"/>
    </row>
    <row r="129" spans="1:12" s="66" customFormat="1">
      <c r="A129" s="72"/>
      <c r="B129" s="75"/>
      <c r="D129" s="76"/>
      <c r="K129" s="71"/>
      <c r="L129" s="72"/>
    </row>
    <row r="130" spans="1:12" s="66" customFormat="1">
      <c r="A130" s="72"/>
      <c r="B130" s="75"/>
      <c r="D130" s="76"/>
      <c r="K130" s="71"/>
      <c r="L130" s="72"/>
    </row>
    <row r="131" spans="1:12" s="66" customFormat="1">
      <c r="A131" s="72"/>
      <c r="B131" s="75"/>
      <c r="D131" s="76"/>
      <c r="K131" s="71"/>
      <c r="L131" s="72"/>
    </row>
    <row r="132" spans="1:12" s="66" customFormat="1">
      <c r="A132" s="72"/>
      <c r="B132" s="75"/>
      <c r="D132" s="76"/>
      <c r="K132" s="71"/>
      <c r="L132" s="72"/>
    </row>
    <row r="133" spans="1:12" s="66" customFormat="1">
      <c r="A133" s="72"/>
      <c r="B133" s="75"/>
      <c r="D133" s="76"/>
      <c r="K133" s="71"/>
      <c r="L133" s="72"/>
    </row>
    <row r="134" spans="1:12" s="66" customFormat="1">
      <c r="A134" s="72"/>
      <c r="B134" s="75"/>
      <c r="D134" s="76"/>
      <c r="K134" s="71"/>
      <c r="L134" s="72"/>
    </row>
    <row r="135" spans="1:12" s="66" customFormat="1">
      <c r="A135" s="72"/>
      <c r="B135" s="75"/>
      <c r="D135" s="76"/>
      <c r="K135" s="71"/>
      <c r="L135" s="72"/>
    </row>
    <row r="136" spans="1:12" s="66" customFormat="1">
      <c r="A136" s="72"/>
      <c r="B136" s="75"/>
      <c r="D136" s="76"/>
      <c r="K136" s="71"/>
      <c r="L136" s="72"/>
    </row>
    <row r="137" spans="1:12" s="66" customFormat="1">
      <c r="A137" s="72"/>
      <c r="B137" s="75"/>
      <c r="D137" s="76"/>
      <c r="K137" s="71"/>
      <c r="L137" s="72"/>
    </row>
    <row r="138" spans="1:12" s="66" customFormat="1">
      <c r="A138" s="72"/>
      <c r="B138" s="75"/>
      <c r="D138" s="76"/>
      <c r="K138" s="71"/>
      <c r="L138" s="72"/>
    </row>
    <row r="139" spans="1:12" s="66" customFormat="1">
      <c r="A139" s="72"/>
      <c r="B139" s="75"/>
      <c r="D139" s="76"/>
      <c r="K139" s="71"/>
      <c r="L139" s="72"/>
    </row>
    <row r="140" spans="1:12" s="66" customFormat="1">
      <c r="A140" s="72"/>
      <c r="B140" s="75"/>
      <c r="D140" s="76"/>
      <c r="K140" s="71"/>
      <c r="L140" s="72"/>
    </row>
    <row r="141" spans="1:12" s="66" customFormat="1">
      <c r="A141" s="72"/>
      <c r="B141" s="75"/>
      <c r="D141" s="76"/>
      <c r="K141" s="71"/>
      <c r="L141" s="72"/>
    </row>
    <row r="142" spans="1:12" s="66" customFormat="1">
      <c r="A142" s="72"/>
      <c r="B142" s="75"/>
      <c r="D142" s="76"/>
      <c r="K142" s="71"/>
      <c r="L142" s="72"/>
    </row>
    <row r="143" spans="1:12" s="66" customFormat="1">
      <c r="A143" s="72"/>
      <c r="B143" s="75"/>
      <c r="D143" s="76"/>
      <c r="K143" s="71"/>
      <c r="L143" s="72"/>
    </row>
    <row r="144" spans="1:12" s="66" customFormat="1">
      <c r="A144" s="72"/>
      <c r="B144" s="75"/>
      <c r="D144" s="76"/>
      <c r="K144" s="71"/>
      <c r="L144" s="72"/>
    </row>
    <row r="145" spans="1:12" s="66" customFormat="1">
      <c r="A145" s="72"/>
      <c r="B145" s="75"/>
      <c r="D145" s="76"/>
      <c r="K145" s="71"/>
      <c r="L145" s="72"/>
    </row>
    <row r="146" spans="1:12" s="66" customFormat="1">
      <c r="A146" s="72"/>
      <c r="B146" s="75"/>
      <c r="D146" s="76"/>
      <c r="K146" s="71"/>
      <c r="L146" s="72"/>
    </row>
    <row r="147" spans="1:12" s="66" customFormat="1">
      <c r="A147" s="72"/>
      <c r="B147" s="75"/>
      <c r="D147" s="76"/>
      <c r="K147" s="71"/>
      <c r="L147" s="72"/>
    </row>
    <row r="148" spans="1:12" s="66" customFormat="1">
      <c r="A148" s="72"/>
      <c r="B148" s="75"/>
      <c r="D148" s="76"/>
      <c r="K148" s="71"/>
      <c r="L148" s="72"/>
    </row>
    <row r="149" spans="1:12" s="66" customFormat="1">
      <c r="A149" s="72"/>
      <c r="B149" s="75"/>
      <c r="D149" s="76"/>
      <c r="K149" s="71"/>
      <c r="L149" s="72"/>
    </row>
    <row r="150" spans="1:12" s="66" customFormat="1">
      <c r="A150" s="72"/>
      <c r="B150" s="75"/>
      <c r="D150" s="76"/>
      <c r="K150" s="71"/>
      <c r="L150" s="72"/>
    </row>
    <row r="151" spans="1:12" s="66" customFormat="1">
      <c r="A151" s="72"/>
      <c r="B151" s="75"/>
      <c r="D151" s="76"/>
      <c r="K151" s="71"/>
      <c r="L151" s="72"/>
    </row>
    <row r="152" spans="1:12" s="66" customFormat="1">
      <c r="A152" s="72"/>
      <c r="B152" s="75"/>
      <c r="D152" s="76"/>
      <c r="K152" s="71"/>
      <c r="L152" s="72"/>
    </row>
    <row r="153" spans="1:12" s="66" customFormat="1">
      <c r="A153" s="72"/>
      <c r="B153" s="75"/>
      <c r="D153" s="76"/>
      <c r="K153" s="71"/>
      <c r="L153" s="72"/>
    </row>
    <row r="154" spans="1:12" s="66" customFormat="1">
      <c r="A154" s="72"/>
      <c r="B154" s="75"/>
      <c r="D154" s="76"/>
      <c r="K154" s="71"/>
      <c r="L154" s="72"/>
    </row>
    <row r="155" spans="1:12" s="66" customFormat="1">
      <c r="A155" s="72"/>
      <c r="B155" s="75"/>
      <c r="D155" s="76"/>
      <c r="K155" s="71"/>
      <c r="L155" s="72"/>
    </row>
    <row r="156" spans="1:12" s="66" customFormat="1">
      <c r="A156" s="72"/>
      <c r="B156" s="75"/>
      <c r="D156" s="76"/>
      <c r="K156" s="71"/>
      <c r="L156" s="72"/>
    </row>
    <row r="157" spans="1:12" s="66" customFormat="1">
      <c r="A157" s="72"/>
      <c r="B157" s="75"/>
      <c r="D157" s="76"/>
      <c r="K157" s="71"/>
      <c r="L157" s="72"/>
    </row>
    <row r="158" spans="1:12" s="66" customFormat="1">
      <c r="A158" s="72"/>
      <c r="B158" s="75"/>
      <c r="D158" s="76"/>
      <c r="K158" s="71"/>
      <c r="L158" s="72"/>
    </row>
    <row r="159" spans="1:12" s="66" customFormat="1">
      <c r="A159" s="72"/>
      <c r="B159" s="75"/>
      <c r="D159" s="76"/>
      <c r="K159" s="71"/>
      <c r="L159" s="72"/>
    </row>
    <row r="160" spans="1:12" s="66" customFormat="1">
      <c r="A160" s="72"/>
      <c r="B160" s="75"/>
      <c r="D160" s="76"/>
      <c r="K160" s="71"/>
      <c r="L160" s="72"/>
    </row>
    <row r="161" spans="1:12" s="66" customFormat="1">
      <c r="A161" s="72"/>
      <c r="B161" s="75"/>
      <c r="D161" s="76"/>
      <c r="K161" s="71"/>
      <c r="L161" s="72"/>
    </row>
    <row r="162" spans="1:12" s="66" customFormat="1">
      <c r="A162" s="72"/>
      <c r="B162" s="75"/>
      <c r="D162" s="76"/>
      <c r="K162" s="71"/>
      <c r="L162" s="72"/>
    </row>
    <row r="163" spans="1:12" s="66" customFormat="1">
      <c r="A163" s="72"/>
      <c r="B163" s="75"/>
      <c r="D163" s="76"/>
      <c r="K163" s="71"/>
      <c r="L163" s="72"/>
    </row>
    <row r="164" spans="1:12" s="66" customFormat="1">
      <c r="A164" s="72"/>
      <c r="B164" s="75"/>
      <c r="D164" s="76"/>
      <c r="K164" s="71"/>
      <c r="L164" s="72"/>
    </row>
    <row r="165" spans="1:12" s="66" customFormat="1">
      <c r="A165" s="72"/>
      <c r="B165" s="75"/>
      <c r="D165" s="76"/>
      <c r="K165" s="71"/>
      <c r="L165" s="72"/>
    </row>
    <row r="166" spans="1:12" s="66" customFormat="1">
      <c r="A166" s="72"/>
      <c r="B166" s="75"/>
      <c r="D166" s="76"/>
      <c r="K166" s="71"/>
      <c r="L166" s="72"/>
    </row>
    <row r="167" spans="1:12" s="66" customFormat="1">
      <c r="A167" s="72"/>
      <c r="B167" s="75"/>
      <c r="D167" s="76"/>
      <c r="K167" s="71"/>
      <c r="L167" s="72"/>
    </row>
    <row r="168" spans="1:12" s="66" customFormat="1">
      <c r="A168" s="72"/>
      <c r="B168" s="75"/>
      <c r="D168" s="76"/>
      <c r="K168" s="71"/>
      <c r="L168" s="72"/>
    </row>
    <row r="169" spans="1:12" s="66" customFormat="1">
      <c r="A169" s="72"/>
      <c r="B169" s="75"/>
      <c r="D169" s="76"/>
      <c r="K169" s="71"/>
      <c r="L169" s="72"/>
    </row>
    <row r="170" spans="1:12" s="66" customFormat="1">
      <c r="A170" s="72"/>
      <c r="B170" s="75"/>
      <c r="D170" s="76"/>
      <c r="K170" s="71"/>
      <c r="L170" s="72"/>
    </row>
    <row r="171" spans="1:12" s="66" customFormat="1">
      <c r="A171" s="72"/>
      <c r="B171" s="75"/>
      <c r="D171" s="76"/>
      <c r="K171" s="71"/>
      <c r="L171" s="72"/>
    </row>
    <row r="172" spans="1:12" s="66" customFormat="1">
      <c r="A172" s="72"/>
      <c r="B172" s="75"/>
      <c r="D172" s="76"/>
      <c r="K172" s="71"/>
      <c r="L172" s="72"/>
    </row>
    <row r="173" spans="1:12" s="66" customFormat="1">
      <c r="A173" s="72"/>
      <c r="B173" s="75"/>
      <c r="D173" s="76"/>
      <c r="K173" s="71"/>
      <c r="L173" s="72"/>
    </row>
    <row r="174" spans="1:12" s="66" customFormat="1">
      <c r="A174" s="72"/>
      <c r="B174" s="75"/>
      <c r="D174" s="76"/>
      <c r="K174" s="71"/>
      <c r="L174" s="72"/>
    </row>
    <row r="175" spans="1:12" s="66" customFormat="1">
      <c r="A175" s="72"/>
      <c r="B175" s="75"/>
      <c r="D175" s="76"/>
      <c r="K175" s="71"/>
      <c r="L175" s="72"/>
    </row>
    <row r="176" spans="1:12" s="66" customFormat="1">
      <c r="A176" s="72"/>
      <c r="B176" s="75"/>
      <c r="D176" s="76"/>
      <c r="K176" s="71"/>
      <c r="L176" s="72"/>
    </row>
    <row r="177" spans="1:12" s="66" customFormat="1">
      <c r="A177" s="72"/>
      <c r="B177" s="75"/>
      <c r="D177" s="76"/>
      <c r="K177" s="71"/>
      <c r="L177" s="72"/>
    </row>
    <row r="178" spans="1:12" s="66" customFormat="1">
      <c r="A178" s="72"/>
      <c r="B178" s="75"/>
      <c r="D178" s="76"/>
      <c r="K178" s="71"/>
      <c r="L178" s="72"/>
    </row>
    <row r="179" spans="1:12" s="66" customFormat="1">
      <c r="A179" s="72"/>
      <c r="B179" s="75"/>
      <c r="D179" s="76"/>
      <c r="K179" s="71"/>
      <c r="L179" s="72"/>
    </row>
    <row r="180" spans="1:12" s="66" customFormat="1">
      <c r="A180" s="72"/>
      <c r="B180" s="75"/>
      <c r="D180" s="76"/>
      <c r="K180" s="71"/>
      <c r="L180" s="72"/>
    </row>
    <row r="181" spans="1:12" s="66" customFormat="1">
      <c r="A181" s="72"/>
      <c r="B181" s="75"/>
      <c r="D181" s="76"/>
      <c r="K181" s="71"/>
      <c r="L181" s="72"/>
    </row>
    <row r="182" spans="1:12" s="66" customFormat="1">
      <c r="A182" s="72"/>
      <c r="B182" s="75"/>
      <c r="D182" s="76"/>
      <c r="K182" s="71"/>
      <c r="L182" s="72"/>
    </row>
    <row r="183" spans="1:12" s="66" customFormat="1">
      <c r="A183" s="72"/>
      <c r="B183" s="75"/>
      <c r="D183" s="76"/>
      <c r="K183" s="71"/>
      <c r="L183" s="72"/>
    </row>
    <row r="184" spans="1:12" s="66" customFormat="1">
      <c r="A184" s="72"/>
      <c r="B184" s="75"/>
      <c r="D184" s="76"/>
      <c r="K184" s="71"/>
      <c r="L184" s="72"/>
    </row>
    <row r="185" spans="1:12" s="66" customFormat="1">
      <c r="A185" s="72"/>
      <c r="B185" s="75"/>
      <c r="D185" s="76"/>
      <c r="K185" s="71"/>
      <c r="L185" s="72"/>
    </row>
    <row r="186" spans="1:12" s="66" customFormat="1">
      <c r="A186" s="72"/>
      <c r="B186" s="75"/>
      <c r="D186" s="76"/>
      <c r="K186" s="71"/>
      <c r="L186" s="72"/>
    </row>
    <row r="187" spans="1:12" s="66" customFormat="1">
      <c r="A187" s="72"/>
      <c r="B187" s="75"/>
      <c r="D187" s="76"/>
      <c r="K187" s="71"/>
      <c r="L187" s="72"/>
    </row>
    <row r="188" spans="1:12" s="66" customFormat="1">
      <c r="A188" s="72"/>
      <c r="B188" s="75"/>
      <c r="D188" s="76"/>
      <c r="K188" s="71"/>
      <c r="L188" s="72"/>
    </row>
    <row r="189" spans="1:12" s="66" customFormat="1">
      <c r="A189" s="72"/>
      <c r="B189" s="75"/>
      <c r="D189" s="76"/>
      <c r="K189" s="71"/>
      <c r="L189" s="72"/>
    </row>
    <row r="190" spans="1:12" s="66" customFormat="1">
      <c r="A190" s="72"/>
      <c r="B190" s="75"/>
      <c r="D190" s="76"/>
      <c r="K190" s="71"/>
      <c r="L190" s="72"/>
    </row>
    <row r="191" spans="1:12" s="66" customFormat="1">
      <c r="A191" s="72"/>
      <c r="B191" s="75"/>
      <c r="D191" s="76"/>
      <c r="K191" s="71"/>
      <c r="L191" s="72"/>
    </row>
    <row r="192" spans="1:12" s="66" customFormat="1">
      <c r="A192" s="72"/>
      <c r="B192" s="75"/>
      <c r="D192" s="76"/>
      <c r="K192" s="71"/>
      <c r="L192" s="72"/>
    </row>
    <row r="193" spans="1:12" s="66" customFormat="1">
      <c r="A193" s="72"/>
      <c r="B193" s="75"/>
      <c r="D193" s="76"/>
      <c r="K193" s="71"/>
      <c r="L193" s="72"/>
    </row>
    <row r="194" spans="1:12" s="66" customFormat="1">
      <c r="A194" s="72"/>
      <c r="B194" s="75"/>
      <c r="D194" s="76"/>
      <c r="K194" s="71"/>
      <c r="L194" s="72"/>
    </row>
    <row r="195" spans="1:12" s="66" customFormat="1">
      <c r="A195" s="72"/>
      <c r="B195" s="75"/>
      <c r="D195" s="76"/>
      <c r="K195" s="71"/>
      <c r="L195" s="72"/>
    </row>
    <row r="196" spans="1:12" s="66" customFormat="1">
      <c r="A196" s="72"/>
      <c r="B196" s="75"/>
      <c r="D196" s="76"/>
      <c r="K196" s="71"/>
      <c r="L196" s="72"/>
    </row>
    <row r="197" spans="1:12" s="66" customFormat="1">
      <c r="A197" s="72"/>
      <c r="B197" s="75"/>
      <c r="D197" s="76"/>
      <c r="K197" s="71"/>
      <c r="L197" s="72"/>
    </row>
    <row r="198" spans="1:12" s="66" customFormat="1">
      <c r="A198" s="72"/>
      <c r="B198" s="75"/>
      <c r="D198" s="76"/>
      <c r="K198" s="71"/>
      <c r="L198" s="72"/>
    </row>
    <row r="199" spans="1:12" s="66" customFormat="1">
      <c r="A199" s="72"/>
      <c r="B199" s="75"/>
      <c r="D199" s="76"/>
      <c r="K199" s="71"/>
      <c r="L199" s="72"/>
    </row>
    <row r="200" spans="1:12" s="66" customFormat="1">
      <c r="A200" s="72"/>
      <c r="B200" s="75"/>
      <c r="D200" s="76"/>
      <c r="K200" s="71"/>
      <c r="L200" s="72"/>
    </row>
    <row r="201" spans="1:12" s="66" customFormat="1">
      <c r="A201" s="72"/>
      <c r="B201" s="75"/>
      <c r="D201" s="76"/>
      <c r="K201" s="71"/>
      <c r="L201" s="72"/>
    </row>
    <row r="202" spans="1:12" s="66" customFormat="1">
      <c r="A202" s="72"/>
      <c r="B202" s="75"/>
      <c r="D202" s="76"/>
      <c r="K202" s="71"/>
      <c r="L202" s="72"/>
    </row>
    <row r="203" spans="1:12" s="66" customFormat="1">
      <c r="A203" s="72"/>
      <c r="B203" s="75"/>
      <c r="D203" s="76"/>
      <c r="K203" s="71"/>
      <c r="L203" s="72"/>
    </row>
    <row r="204" spans="1:12" s="66" customFormat="1">
      <c r="A204" s="72"/>
      <c r="B204" s="75"/>
      <c r="D204" s="76"/>
      <c r="K204" s="71"/>
      <c r="L204" s="72"/>
    </row>
    <row r="205" spans="1:12" s="66" customFormat="1">
      <c r="A205" s="72"/>
      <c r="B205" s="75"/>
      <c r="D205" s="76"/>
      <c r="K205" s="71"/>
      <c r="L205" s="72"/>
    </row>
    <row r="206" spans="1:12" s="66" customFormat="1">
      <c r="A206" s="72"/>
      <c r="B206" s="75"/>
      <c r="D206" s="76"/>
      <c r="K206" s="71"/>
      <c r="L206" s="72"/>
    </row>
    <row r="207" spans="1:12" s="66" customFormat="1">
      <c r="A207" s="72"/>
      <c r="B207" s="75"/>
      <c r="D207" s="76"/>
      <c r="K207" s="71"/>
      <c r="L207" s="72"/>
    </row>
    <row r="208" spans="1:12" s="66" customFormat="1">
      <c r="A208" s="72"/>
      <c r="B208" s="75"/>
      <c r="D208" s="76"/>
      <c r="K208" s="71"/>
      <c r="L208" s="72"/>
    </row>
    <row r="209" spans="1:12" s="66" customFormat="1">
      <c r="A209" s="72"/>
      <c r="B209" s="75"/>
      <c r="D209" s="76"/>
      <c r="K209" s="71"/>
      <c r="L209" s="72"/>
    </row>
    <row r="210" spans="1:12" s="66" customFormat="1">
      <c r="A210" s="72"/>
      <c r="B210" s="75"/>
      <c r="D210" s="76"/>
      <c r="K210" s="71"/>
      <c r="L210" s="72"/>
    </row>
    <row r="211" spans="1:12" s="66" customFormat="1">
      <c r="A211" s="72"/>
      <c r="B211" s="75"/>
      <c r="D211" s="76"/>
      <c r="K211" s="71"/>
      <c r="L211" s="72"/>
    </row>
    <row r="212" spans="1:12" s="66" customFormat="1">
      <c r="A212" s="72"/>
      <c r="B212" s="75"/>
      <c r="D212" s="76"/>
      <c r="K212" s="71"/>
      <c r="L212" s="72"/>
    </row>
    <row r="213" spans="1:12" s="66" customFormat="1">
      <c r="A213" s="72"/>
      <c r="B213" s="75"/>
      <c r="D213" s="76"/>
      <c r="K213" s="71"/>
      <c r="L213" s="72"/>
    </row>
    <row r="214" spans="1:12" s="66" customFormat="1">
      <c r="A214" s="72"/>
      <c r="B214" s="75"/>
      <c r="D214" s="76"/>
      <c r="K214" s="71"/>
      <c r="L214" s="72"/>
    </row>
    <row r="215" spans="1:12" s="66" customFormat="1">
      <c r="A215" s="72"/>
      <c r="B215" s="75"/>
      <c r="D215" s="76"/>
      <c r="K215" s="71"/>
      <c r="L215" s="72"/>
    </row>
    <row r="216" spans="1:12" s="66" customFormat="1">
      <c r="A216" s="72"/>
      <c r="B216" s="75"/>
      <c r="D216" s="76"/>
      <c r="K216" s="71"/>
      <c r="L216" s="72"/>
    </row>
    <row r="217" spans="1:12" s="66" customFormat="1">
      <c r="A217" s="72"/>
      <c r="B217" s="75"/>
      <c r="D217" s="76"/>
      <c r="K217" s="71"/>
      <c r="L217" s="72"/>
    </row>
    <row r="218" spans="1:12" s="66" customFormat="1">
      <c r="A218" s="72"/>
      <c r="B218" s="75"/>
      <c r="D218" s="76"/>
      <c r="K218" s="71"/>
      <c r="L218" s="72"/>
    </row>
    <row r="219" spans="1:12" s="66" customFormat="1">
      <c r="A219" s="72"/>
      <c r="B219" s="75"/>
      <c r="D219" s="76"/>
      <c r="K219" s="71"/>
      <c r="L219" s="72"/>
    </row>
    <row r="220" spans="1:12" s="66" customFormat="1">
      <c r="A220" s="72"/>
      <c r="B220" s="75"/>
      <c r="D220" s="76"/>
      <c r="K220" s="71"/>
      <c r="L220" s="72"/>
    </row>
    <row r="221" spans="1:12" s="66" customFormat="1">
      <c r="A221" s="72"/>
      <c r="B221" s="75"/>
      <c r="D221" s="76"/>
      <c r="K221" s="71"/>
      <c r="L221" s="72"/>
    </row>
    <row r="222" spans="1:12" s="66" customFormat="1">
      <c r="A222" s="72"/>
      <c r="B222" s="75"/>
      <c r="D222" s="76"/>
      <c r="K222" s="71"/>
      <c r="L222" s="72"/>
    </row>
    <row r="223" spans="1:12" s="66" customFormat="1">
      <c r="A223" s="72"/>
      <c r="B223" s="75"/>
      <c r="D223" s="76"/>
      <c r="K223" s="71"/>
      <c r="L223" s="72"/>
    </row>
    <row r="224" spans="1:12" s="66" customFormat="1">
      <c r="A224" s="72"/>
      <c r="B224" s="75"/>
      <c r="D224" s="76"/>
      <c r="K224" s="71"/>
      <c r="L224" s="72"/>
    </row>
    <row r="225" spans="1:12" s="66" customFormat="1">
      <c r="A225" s="72"/>
      <c r="B225" s="75"/>
      <c r="D225" s="76"/>
      <c r="K225" s="71"/>
      <c r="L225" s="72"/>
    </row>
    <row r="226" spans="1:12" s="66" customFormat="1">
      <c r="A226" s="72"/>
      <c r="B226" s="75"/>
      <c r="D226" s="76"/>
      <c r="K226" s="71"/>
      <c r="L226" s="72"/>
    </row>
    <row r="227" spans="1:12" s="66" customFormat="1">
      <c r="A227" s="72"/>
      <c r="B227" s="75"/>
      <c r="D227" s="76"/>
      <c r="K227" s="71"/>
      <c r="L227" s="72"/>
    </row>
    <row r="228" spans="1:12" s="66" customFormat="1">
      <c r="A228" s="72"/>
      <c r="B228" s="75"/>
      <c r="D228" s="76"/>
      <c r="K228" s="71"/>
      <c r="L228" s="72"/>
    </row>
    <row r="229" spans="1:12" s="66" customFormat="1">
      <c r="A229" s="72"/>
      <c r="B229" s="75"/>
      <c r="D229" s="76"/>
      <c r="K229" s="71"/>
      <c r="L229" s="72"/>
    </row>
    <row r="230" spans="1:12" s="66" customFormat="1">
      <c r="A230" s="72"/>
      <c r="B230" s="75"/>
      <c r="D230" s="76"/>
      <c r="K230" s="71"/>
      <c r="L230" s="72"/>
    </row>
    <row r="231" spans="1:12" s="66" customFormat="1">
      <c r="A231" s="72"/>
      <c r="B231" s="75"/>
      <c r="D231" s="76"/>
      <c r="K231" s="71"/>
      <c r="L231" s="72"/>
    </row>
    <row r="232" spans="1:12" s="66" customFormat="1">
      <c r="A232" s="72"/>
      <c r="B232" s="75"/>
      <c r="D232" s="76"/>
      <c r="K232" s="71"/>
      <c r="L232" s="72"/>
    </row>
    <row r="233" spans="1:12" s="66" customFormat="1">
      <c r="A233" s="72"/>
      <c r="B233" s="75"/>
      <c r="D233" s="76"/>
      <c r="K233" s="71"/>
      <c r="L233" s="72"/>
    </row>
    <row r="234" spans="1:12" s="66" customFormat="1">
      <c r="A234" s="72"/>
      <c r="B234" s="75"/>
      <c r="D234" s="76"/>
      <c r="K234" s="71"/>
      <c r="L234" s="72"/>
    </row>
    <row r="235" spans="1:12" s="66" customFormat="1">
      <c r="A235" s="72"/>
      <c r="B235" s="75"/>
      <c r="D235" s="76"/>
      <c r="K235" s="71"/>
      <c r="L235" s="72"/>
    </row>
    <row r="236" spans="1:12" s="66" customFormat="1">
      <c r="A236" s="72"/>
      <c r="B236" s="75"/>
      <c r="D236" s="76"/>
      <c r="K236" s="71"/>
      <c r="L236" s="72"/>
    </row>
    <row r="237" spans="1:12" s="66" customFormat="1">
      <c r="A237" s="72"/>
      <c r="B237" s="75"/>
      <c r="D237" s="76"/>
      <c r="K237" s="71"/>
      <c r="L237" s="72"/>
    </row>
    <row r="238" spans="1:12" s="66" customFormat="1">
      <c r="A238" s="72"/>
      <c r="B238" s="75"/>
      <c r="D238" s="76"/>
      <c r="K238" s="71"/>
      <c r="L238" s="72"/>
    </row>
    <row r="239" spans="1:12" s="66" customFormat="1">
      <c r="A239" s="72"/>
      <c r="B239" s="75"/>
      <c r="D239" s="76"/>
      <c r="K239" s="71"/>
      <c r="L239" s="72"/>
    </row>
    <row r="240" spans="1:12" s="66" customFormat="1">
      <c r="A240" s="72"/>
      <c r="B240" s="75"/>
      <c r="D240" s="76"/>
      <c r="K240" s="71"/>
      <c r="L240" s="72"/>
    </row>
    <row r="241" spans="1:12" s="66" customFormat="1">
      <c r="A241" s="72"/>
      <c r="B241" s="75"/>
      <c r="D241" s="76"/>
      <c r="K241" s="71"/>
      <c r="L241" s="72"/>
    </row>
    <row r="242" spans="1:12" s="66" customFormat="1">
      <c r="A242" s="72"/>
      <c r="B242" s="75"/>
      <c r="D242" s="76"/>
      <c r="K242" s="71"/>
      <c r="L242" s="72"/>
    </row>
    <row r="243" spans="1:12" s="66" customFormat="1">
      <c r="A243" s="72"/>
      <c r="B243" s="75"/>
      <c r="D243" s="76"/>
      <c r="K243" s="71"/>
      <c r="L243" s="72"/>
    </row>
    <row r="244" spans="1:12" s="66" customFormat="1">
      <c r="A244" s="72"/>
      <c r="B244" s="75"/>
      <c r="D244" s="76"/>
      <c r="K244" s="71"/>
      <c r="L244" s="72"/>
    </row>
    <row r="245" spans="1:12" s="66" customFormat="1">
      <c r="A245" s="72"/>
      <c r="B245" s="75"/>
      <c r="D245" s="76"/>
      <c r="K245" s="71"/>
      <c r="L245" s="72"/>
    </row>
    <row r="246" spans="1:12" s="66" customFormat="1">
      <c r="A246" s="72"/>
      <c r="B246" s="75"/>
      <c r="D246" s="76"/>
      <c r="K246" s="71"/>
      <c r="L246" s="72"/>
    </row>
    <row r="247" spans="1:12" s="66" customFormat="1">
      <c r="A247" s="72"/>
      <c r="B247" s="75"/>
      <c r="D247" s="76"/>
      <c r="K247" s="71"/>
      <c r="L247" s="72"/>
    </row>
    <row r="248" spans="1:12" s="66" customFormat="1">
      <c r="A248" s="72"/>
      <c r="B248" s="75"/>
      <c r="D248" s="76"/>
      <c r="K248" s="71"/>
      <c r="L248" s="72"/>
    </row>
    <row r="249" spans="1:12" s="66" customFormat="1">
      <c r="A249" s="72"/>
      <c r="B249" s="75"/>
      <c r="D249" s="76"/>
      <c r="K249" s="71"/>
      <c r="L249" s="72"/>
    </row>
    <row r="250" spans="1:12" s="66" customFormat="1">
      <c r="A250" s="72"/>
      <c r="B250" s="75"/>
      <c r="D250" s="76"/>
      <c r="K250" s="71"/>
      <c r="L250" s="72"/>
    </row>
    <row r="251" spans="1:12" s="66" customFormat="1">
      <c r="A251" s="72"/>
      <c r="B251" s="75"/>
      <c r="D251" s="76"/>
      <c r="K251" s="71"/>
      <c r="L251" s="72"/>
    </row>
    <row r="252" spans="1:12" s="66" customFormat="1">
      <c r="A252" s="72"/>
      <c r="B252" s="75"/>
      <c r="D252" s="76"/>
      <c r="K252" s="71"/>
      <c r="L252" s="72"/>
    </row>
    <row r="253" spans="1:12" s="66" customFormat="1">
      <c r="A253" s="72"/>
      <c r="B253" s="75"/>
      <c r="D253" s="76"/>
      <c r="K253" s="71"/>
      <c r="L253" s="72"/>
    </row>
    <row r="254" spans="1:12" s="66" customFormat="1">
      <c r="A254" s="72"/>
      <c r="B254" s="75"/>
      <c r="D254" s="76"/>
      <c r="K254" s="71"/>
      <c r="L254" s="72"/>
    </row>
    <row r="255" spans="1:12" s="66" customFormat="1">
      <c r="A255" s="72"/>
      <c r="B255" s="75"/>
      <c r="D255" s="76"/>
      <c r="K255" s="71"/>
      <c r="L255" s="72"/>
    </row>
    <row r="256" spans="1:12" s="66" customFormat="1">
      <c r="A256" s="72"/>
      <c r="B256" s="75"/>
      <c r="D256" s="76"/>
      <c r="K256" s="71"/>
      <c r="L256" s="72"/>
    </row>
    <row r="257" spans="1:12" s="66" customFormat="1">
      <c r="A257" s="72"/>
      <c r="B257" s="75"/>
      <c r="D257" s="76"/>
      <c r="K257" s="71"/>
      <c r="L257" s="72"/>
    </row>
    <row r="258" spans="1:12" s="66" customFormat="1">
      <c r="A258" s="72"/>
      <c r="B258" s="75"/>
      <c r="D258" s="76"/>
      <c r="K258" s="71"/>
      <c r="L258" s="72"/>
    </row>
    <row r="259" spans="1:12" s="66" customFormat="1">
      <c r="A259" s="72"/>
      <c r="B259" s="75"/>
      <c r="D259" s="76"/>
      <c r="K259" s="71"/>
      <c r="L259" s="72"/>
    </row>
    <row r="260" spans="1:12" s="66" customFormat="1">
      <c r="A260" s="72"/>
      <c r="B260" s="75"/>
      <c r="D260" s="76"/>
      <c r="K260" s="71"/>
      <c r="L260" s="72"/>
    </row>
    <row r="261" spans="1:12" s="66" customFormat="1">
      <c r="A261" s="72"/>
      <c r="B261" s="75"/>
      <c r="D261" s="76"/>
      <c r="K261" s="71"/>
      <c r="L261" s="72"/>
    </row>
    <row r="262" spans="1:12" s="66" customFormat="1">
      <c r="A262" s="72"/>
      <c r="B262" s="75"/>
      <c r="D262" s="76"/>
      <c r="K262" s="71"/>
      <c r="L262" s="72"/>
    </row>
    <row r="263" spans="1:12" s="66" customFormat="1">
      <c r="A263" s="72"/>
      <c r="B263" s="75"/>
      <c r="D263" s="76"/>
      <c r="K263" s="71"/>
      <c r="L263" s="72"/>
    </row>
    <row r="264" spans="1:12" s="66" customFormat="1">
      <c r="A264" s="72"/>
      <c r="B264" s="75"/>
      <c r="D264" s="76"/>
      <c r="K264" s="71"/>
      <c r="L264" s="72"/>
    </row>
    <row r="265" spans="1:12" s="66" customFormat="1">
      <c r="A265" s="72"/>
      <c r="B265" s="75"/>
      <c r="D265" s="76"/>
      <c r="K265" s="71"/>
      <c r="L265" s="72"/>
    </row>
    <row r="266" spans="1:12" s="66" customFormat="1">
      <c r="A266" s="72"/>
      <c r="B266" s="75"/>
      <c r="D266" s="76"/>
      <c r="K266" s="71"/>
      <c r="L266" s="72"/>
    </row>
    <row r="267" spans="1:12" s="66" customFormat="1">
      <c r="A267" s="72"/>
      <c r="B267" s="75"/>
      <c r="D267" s="76"/>
      <c r="K267" s="71"/>
      <c r="L267" s="72"/>
    </row>
    <row r="268" spans="1:12" s="66" customFormat="1">
      <c r="A268" s="72"/>
      <c r="B268" s="75"/>
      <c r="D268" s="76"/>
      <c r="K268" s="71"/>
      <c r="L268" s="72"/>
    </row>
    <row r="269" spans="1:12" s="66" customFormat="1">
      <c r="A269" s="72"/>
      <c r="B269" s="75"/>
      <c r="D269" s="76"/>
      <c r="K269" s="71"/>
      <c r="L269" s="72"/>
    </row>
    <row r="270" spans="1:12" s="66" customFormat="1">
      <c r="A270" s="72"/>
      <c r="B270" s="75"/>
      <c r="D270" s="76"/>
      <c r="K270" s="71"/>
      <c r="L270" s="72"/>
    </row>
    <row r="271" spans="1:12" s="66" customFormat="1">
      <c r="A271" s="72"/>
      <c r="B271" s="75"/>
      <c r="D271" s="76"/>
      <c r="K271" s="71"/>
      <c r="L271" s="72"/>
    </row>
    <row r="272" spans="1:12" s="66" customFormat="1">
      <c r="A272" s="72"/>
      <c r="B272" s="75"/>
      <c r="D272" s="76"/>
      <c r="K272" s="71"/>
      <c r="L272" s="72"/>
    </row>
    <row r="273" spans="1:12" s="66" customFormat="1">
      <c r="A273" s="72"/>
      <c r="B273" s="75"/>
      <c r="D273" s="76"/>
      <c r="K273" s="71"/>
      <c r="L273" s="72"/>
    </row>
    <row r="274" spans="1:12" s="66" customFormat="1">
      <c r="A274" s="72"/>
      <c r="B274" s="75"/>
      <c r="D274" s="76"/>
      <c r="K274" s="71"/>
      <c r="L274" s="72"/>
    </row>
    <row r="275" spans="1:12" s="66" customFormat="1">
      <c r="A275" s="72"/>
      <c r="B275" s="75"/>
      <c r="D275" s="76"/>
      <c r="K275" s="71"/>
      <c r="L275" s="72"/>
    </row>
    <row r="276" spans="1:12" s="66" customFormat="1">
      <c r="A276" s="72"/>
      <c r="B276" s="75"/>
      <c r="D276" s="76"/>
      <c r="K276" s="71"/>
      <c r="L276" s="72"/>
    </row>
    <row r="277" spans="1:12" s="66" customFormat="1">
      <c r="A277" s="72"/>
      <c r="B277" s="75"/>
      <c r="D277" s="76"/>
      <c r="K277" s="71"/>
      <c r="L277" s="72"/>
    </row>
    <row r="278" spans="1:12" s="66" customFormat="1">
      <c r="A278" s="72"/>
      <c r="B278" s="75"/>
      <c r="D278" s="76"/>
      <c r="K278" s="71"/>
      <c r="L278" s="72"/>
    </row>
    <row r="279" spans="1:12" s="66" customFormat="1">
      <c r="A279" s="72"/>
      <c r="B279" s="75"/>
      <c r="D279" s="76"/>
      <c r="K279" s="71"/>
      <c r="L279" s="72"/>
    </row>
    <row r="280" spans="1:12" s="66" customFormat="1">
      <c r="A280" s="72"/>
      <c r="B280" s="75"/>
      <c r="D280" s="76"/>
      <c r="K280" s="71"/>
      <c r="L280" s="72"/>
    </row>
    <row r="281" spans="1:12" s="66" customFormat="1">
      <c r="A281" s="72"/>
      <c r="B281" s="75"/>
      <c r="D281" s="76"/>
      <c r="K281" s="71"/>
      <c r="L281" s="72"/>
    </row>
    <row r="282" spans="1:12" s="66" customFormat="1">
      <c r="A282" s="72"/>
      <c r="B282" s="75"/>
      <c r="D282" s="76"/>
      <c r="K282" s="71"/>
      <c r="L282" s="72"/>
    </row>
    <row r="283" spans="1:12" s="66" customFormat="1">
      <c r="A283" s="72"/>
      <c r="B283" s="75"/>
      <c r="D283" s="76"/>
      <c r="K283" s="71"/>
      <c r="L283" s="72"/>
    </row>
    <row r="284" spans="1:12" s="66" customFormat="1">
      <c r="A284" s="72"/>
      <c r="B284" s="75"/>
      <c r="D284" s="76"/>
      <c r="K284" s="71"/>
      <c r="L284" s="72"/>
    </row>
    <row r="285" spans="1:12" s="66" customFormat="1">
      <c r="A285" s="72"/>
      <c r="B285" s="75"/>
      <c r="D285" s="76"/>
      <c r="K285" s="71"/>
      <c r="L285" s="72"/>
    </row>
    <row r="286" spans="1:12" s="66" customFormat="1">
      <c r="A286" s="72"/>
      <c r="B286" s="75"/>
      <c r="D286" s="76"/>
      <c r="K286" s="71"/>
      <c r="L286" s="72"/>
    </row>
    <row r="287" spans="1:12" s="66" customFormat="1">
      <c r="A287" s="72"/>
      <c r="B287" s="75"/>
      <c r="D287" s="76"/>
      <c r="K287" s="71"/>
      <c r="L287" s="72"/>
    </row>
    <row r="288" spans="1:12" s="66" customFormat="1">
      <c r="A288" s="72"/>
      <c r="B288" s="75"/>
      <c r="D288" s="76"/>
      <c r="K288" s="71"/>
      <c r="L288" s="72"/>
    </row>
    <row r="289" spans="1:12" s="66" customFormat="1">
      <c r="A289" s="72"/>
      <c r="B289" s="75"/>
      <c r="D289" s="76"/>
      <c r="K289" s="71"/>
      <c r="L289" s="72"/>
    </row>
    <row r="290" spans="1:12" s="66" customFormat="1">
      <c r="A290" s="72"/>
      <c r="B290" s="75"/>
      <c r="D290" s="76"/>
      <c r="K290" s="71"/>
      <c r="L290" s="72"/>
    </row>
    <row r="291" spans="1:12" s="66" customFormat="1">
      <c r="A291" s="72"/>
      <c r="B291" s="75"/>
      <c r="D291" s="76"/>
      <c r="K291" s="71"/>
      <c r="L291" s="72"/>
    </row>
    <row r="292" spans="1:12" s="66" customFormat="1">
      <c r="A292" s="72"/>
      <c r="B292" s="75"/>
      <c r="D292" s="76"/>
      <c r="K292" s="71"/>
      <c r="L292" s="72"/>
    </row>
    <row r="293" spans="1:12" s="66" customFormat="1">
      <c r="A293" s="72"/>
      <c r="B293" s="75"/>
      <c r="D293" s="76"/>
      <c r="K293" s="71"/>
      <c r="L293" s="72"/>
    </row>
    <row r="294" spans="1:12" s="66" customFormat="1">
      <c r="A294" s="72"/>
      <c r="B294" s="75"/>
      <c r="D294" s="76"/>
      <c r="K294" s="71"/>
      <c r="L294" s="72"/>
    </row>
    <row r="295" spans="1:12" s="66" customFormat="1">
      <c r="A295" s="72"/>
      <c r="B295" s="75"/>
      <c r="D295" s="76"/>
      <c r="K295" s="71"/>
      <c r="L295" s="72"/>
    </row>
    <row r="296" spans="1:12" s="66" customFormat="1">
      <c r="A296" s="72"/>
      <c r="B296" s="75"/>
      <c r="D296" s="76"/>
      <c r="K296" s="71"/>
      <c r="L296" s="72"/>
    </row>
    <row r="297" spans="1:12" s="66" customFormat="1">
      <c r="A297" s="72"/>
      <c r="B297" s="75"/>
      <c r="D297" s="76"/>
      <c r="K297" s="71"/>
      <c r="L297" s="72"/>
    </row>
    <row r="298" spans="1:12" s="66" customFormat="1">
      <c r="A298" s="72"/>
      <c r="B298" s="75"/>
      <c r="D298" s="76"/>
      <c r="K298" s="71"/>
      <c r="L298" s="72"/>
    </row>
    <row r="299" spans="1:12" s="66" customFormat="1">
      <c r="A299" s="72"/>
      <c r="B299" s="75"/>
      <c r="D299" s="76"/>
      <c r="K299" s="71"/>
      <c r="L299" s="72"/>
    </row>
    <row r="300" spans="1:12" s="66" customFormat="1">
      <c r="A300" s="72"/>
      <c r="B300" s="75"/>
      <c r="D300" s="76"/>
      <c r="K300" s="71"/>
      <c r="L300" s="72"/>
    </row>
    <row r="301" spans="1:12" s="66" customFormat="1">
      <c r="A301" s="72"/>
      <c r="B301" s="75"/>
      <c r="D301" s="76"/>
      <c r="K301" s="71"/>
      <c r="L301" s="72"/>
    </row>
    <row r="302" spans="1:12" s="66" customFormat="1">
      <c r="A302" s="72"/>
      <c r="B302" s="75"/>
      <c r="D302" s="76"/>
      <c r="K302" s="71"/>
      <c r="L302" s="72"/>
    </row>
    <row r="303" spans="1:12" s="66" customFormat="1">
      <c r="A303" s="72"/>
      <c r="B303" s="75"/>
      <c r="D303" s="76"/>
      <c r="K303" s="71"/>
      <c r="L303" s="72"/>
    </row>
    <row r="304" spans="1:12" s="66" customFormat="1">
      <c r="A304" s="72"/>
      <c r="B304" s="75"/>
      <c r="D304" s="76"/>
      <c r="K304" s="71"/>
      <c r="L304" s="72"/>
    </row>
    <row r="305" spans="1:12" s="66" customFormat="1">
      <c r="A305" s="72"/>
      <c r="B305" s="75"/>
      <c r="D305" s="76"/>
      <c r="K305" s="71"/>
      <c r="L305" s="72"/>
    </row>
    <row r="306" spans="1:12" s="66" customFormat="1">
      <c r="A306" s="72"/>
      <c r="B306" s="75"/>
      <c r="D306" s="76"/>
      <c r="K306" s="71"/>
      <c r="L306" s="72"/>
    </row>
    <row r="307" spans="1:12" s="66" customFormat="1">
      <c r="A307" s="72"/>
      <c r="B307" s="75"/>
      <c r="D307" s="76"/>
      <c r="K307" s="71"/>
      <c r="L307" s="72"/>
    </row>
    <row r="308" spans="1:12" s="66" customFormat="1">
      <c r="A308" s="72"/>
      <c r="B308" s="75"/>
      <c r="D308" s="76"/>
      <c r="K308" s="71"/>
      <c r="L308" s="72"/>
    </row>
    <row r="309" spans="1:12" s="66" customFormat="1">
      <c r="A309" s="72"/>
      <c r="B309" s="75"/>
      <c r="D309" s="76"/>
      <c r="K309" s="71"/>
      <c r="L309" s="72"/>
    </row>
    <row r="310" spans="1:12" s="66" customFormat="1">
      <c r="A310" s="72"/>
      <c r="B310" s="75"/>
      <c r="D310" s="76"/>
      <c r="K310" s="71"/>
      <c r="L310" s="72"/>
    </row>
    <row r="311" spans="1:12" s="66" customFormat="1">
      <c r="A311" s="72"/>
      <c r="B311" s="75"/>
      <c r="D311" s="76"/>
      <c r="K311" s="71"/>
      <c r="L311" s="72"/>
    </row>
    <row r="312" spans="1:12" s="66" customFormat="1">
      <c r="A312" s="72"/>
      <c r="B312" s="75"/>
      <c r="D312" s="76"/>
      <c r="K312" s="71"/>
      <c r="L312" s="72"/>
    </row>
    <row r="313" spans="1:12" s="66" customFormat="1">
      <c r="A313" s="72"/>
      <c r="B313" s="75"/>
      <c r="D313" s="76"/>
      <c r="K313" s="71"/>
      <c r="L313" s="72"/>
    </row>
    <row r="314" spans="1:12" s="66" customFormat="1">
      <c r="A314" s="72"/>
      <c r="B314" s="75"/>
      <c r="D314" s="76"/>
      <c r="K314" s="71"/>
      <c r="L314" s="72"/>
    </row>
    <row r="315" spans="1:12" s="66" customFormat="1">
      <c r="A315" s="72"/>
      <c r="B315" s="75"/>
      <c r="D315" s="76"/>
      <c r="K315" s="71"/>
      <c r="L315" s="72"/>
    </row>
    <row r="316" spans="1:12" s="66" customFormat="1">
      <c r="A316" s="72"/>
      <c r="B316" s="75"/>
      <c r="D316" s="76"/>
      <c r="K316" s="71"/>
      <c r="L316" s="72"/>
    </row>
    <row r="317" spans="1:12" s="66" customFormat="1">
      <c r="A317" s="72"/>
      <c r="B317" s="75"/>
      <c r="D317" s="76"/>
      <c r="K317" s="71"/>
      <c r="L317" s="72"/>
    </row>
    <row r="318" spans="1:12" s="66" customFormat="1">
      <c r="A318" s="72"/>
      <c r="B318" s="75"/>
      <c r="D318" s="76"/>
      <c r="K318" s="71"/>
      <c r="L318" s="72"/>
    </row>
    <row r="319" spans="1:12" s="66" customFormat="1">
      <c r="A319" s="72"/>
      <c r="B319" s="75"/>
      <c r="D319" s="76"/>
      <c r="K319" s="71"/>
      <c r="L319" s="72"/>
    </row>
    <row r="320" spans="1:12" s="66" customFormat="1">
      <c r="A320" s="72"/>
      <c r="B320" s="75"/>
      <c r="D320" s="76"/>
      <c r="K320" s="71"/>
      <c r="L320" s="72"/>
    </row>
    <row r="321" spans="1:12" s="66" customFormat="1">
      <c r="A321" s="72"/>
      <c r="B321" s="75"/>
      <c r="D321" s="76"/>
      <c r="K321" s="71"/>
      <c r="L321" s="72"/>
    </row>
    <row r="322" spans="1:12" s="66" customFormat="1">
      <c r="A322" s="72"/>
      <c r="B322" s="75"/>
      <c r="D322" s="76"/>
      <c r="K322" s="71"/>
      <c r="L322" s="72"/>
    </row>
    <row r="323" spans="1:12" s="66" customFormat="1">
      <c r="A323" s="72"/>
      <c r="B323" s="75"/>
      <c r="D323" s="76"/>
      <c r="K323" s="71"/>
      <c r="L323" s="72"/>
    </row>
    <row r="324" spans="1:12" s="66" customFormat="1">
      <c r="A324" s="72"/>
      <c r="B324" s="75"/>
      <c r="D324" s="76"/>
      <c r="K324" s="71"/>
      <c r="L324" s="72"/>
    </row>
    <row r="325" spans="1:12" s="66" customFormat="1">
      <c r="A325" s="72"/>
      <c r="B325" s="75"/>
      <c r="D325" s="76"/>
      <c r="K325" s="71"/>
      <c r="L325" s="72"/>
    </row>
    <row r="326" spans="1:12" s="66" customFormat="1">
      <c r="A326" s="72"/>
      <c r="B326" s="75"/>
      <c r="D326" s="76"/>
      <c r="K326" s="71"/>
      <c r="L326" s="72"/>
    </row>
    <row r="327" spans="1:12" s="66" customFormat="1">
      <c r="A327" s="72"/>
      <c r="B327" s="75"/>
      <c r="D327" s="76"/>
      <c r="K327" s="71"/>
      <c r="L327" s="72"/>
    </row>
    <row r="328" spans="1:12" s="66" customFormat="1">
      <c r="A328" s="72"/>
      <c r="B328" s="75"/>
      <c r="D328" s="76"/>
      <c r="K328" s="71"/>
      <c r="L328" s="72"/>
    </row>
    <row r="329" spans="1:12" s="66" customFormat="1">
      <c r="A329" s="72"/>
      <c r="B329" s="75"/>
      <c r="D329" s="76"/>
      <c r="K329" s="71"/>
      <c r="L329" s="72"/>
    </row>
    <row r="330" spans="1:12" s="66" customFormat="1">
      <c r="A330" s="72"/>
      <c r="B330" s="75"/>
      <c r="D330" s="76"/>
      <c r="K330" s="71"/>
      <c r="L330" s="72"/>
    </row>
    <row r="331" spans="1:12" s="66" customFormat="1">
      <c r="A331" s="72"/>
      <c r="B331" s="75"/>
      <c r="D331" s="76"/>
      <c r="K331" s="71"/>
      <c r="L331" s="72"/>
    </row>
    <row r="332" spans="1:12" s="66" customFormat="1">
      <c r="A332" s="72"/>
      <c r="B332" s="75"/>
      <c r="D332" s="76"/>
      <c r="K332" s="71"/>
      <c r="L332" s="72"/>
    </row>
    <row r="333" spans="1:12" s="66" customFormat="1">
      <c r="A333" s="72"/>
      <c r="B333" s="75"/>
      <c r="D333" s="76"/>
      <c r="K333" s="71"/>
      <c r="L333" s="72"/>
    </row>
    <row r="334" spans="1:12" s="66" customFormat="1">
      <c r="A334" s="72"/>
      <c r="B334" s="75"/>
      <c r="D334" s="76"/>
      <c r="K334" s="71"/>
      <c r="L334" s="72"/>
    </row>
    <row r="335" spans="1:12" s="66" customFormat="1">
      <c r="A335" s="72"/>
      <c r="B335" s="75"/>
      <c r="D335" s="76"/>
      <c r="K335" s="71"/>
      <c r="L335" s="72"/>
    </row>
    <row r="336" spans="1:12" s="66" customFormat="1">
      <c r="A336" s="72"/>
      <c r="B336" s="75"/>
      <c r="D336" s="76"/>
      <c r="K336" s="71"/>
      <c r="L336" s="72"/>
    </row>
    <row r="337" spans="1:12" s="66" customFormat="1">
      <c r="A337" s="72"/>
      <c r="B337" s="75"/>
      <c r="D337" s="76"/>
      <c r="K337" s="71"/>
      <c r="L337" s="72"/>
    </row>
    <row r="338" spans="1:12" s="66" customFormat="1">
      <c r="A338" s="72"/>
      <c r="B338" s="75"/>
      <c r="D338" s="76"/>
      <c r="K338" s="71"/>
      <c r="L338" s="72"/>
    </row>
    <row r="339" spans="1:12" s="66" customFormat="1">
      <c r="A339" s="72"/>
      <c r="B339" s="75"/>
      <c r="D339" s="76"/>
      <c r="K339" s="71"/>
      <c r="L339" s="72"/>
    </row>
    <row r="340" spans="1:12" s="66" customFormat="1">
      <c r="A340" s="72"/>
      <c r="B340" s="75"/>
      <c r="D340" s="76"/>
      <c r="K340" s="71"/>
      <c r="L340" s="72"/>
    </row>
    <row r="341" spans="1:12" s="66" customFormat="1">
      <c r="A341" s="72"/>
      <c r="B341" s="75"/>
      <c r="D341" s="76"/>
      <c r="K341" s="71"/>
      <c r="L341" s="72"/>
    </row>
    <row r="342" spans="1:12" s="66" customFormat="1">
      <c r="A342" s="72"/>
      <c r="B342" s="75"/>
      <c r="D342" s="76"/>
      <c r="K342" s="71"/>
      <c r="L342" s="72"/>
    </row>
    <row r="343" spans="1:12" s="66" customFormat="1">
      <c r="A343" s="72"/>
      <c r="B343" s="75"/>
      <c r="D343" s="76"/>
      <c r="K343" s="71"/>
      <c r="L343" s="72"/>
    </row>
    <row r="344" spans="1:12" s="66" customFormat="1">
      <c r="A344" s="72"/>
      <c r="B344" s="75"/>
      <c r="D344" s="76"/>
      <c r="K344" s="71"/>
      <c r="L344" s="72"/>
    </row>
    <row r="345" spans="1:12" s="66" customFormat="1">
      <c r="A345" s="72"/>
      <c r="B345" s="75"/>
      <c r="D345" s="76"/>
      <c r="K345" s="71"/>
      <c r="L345" s="72"/>
    </row>
    <row r="346" spans="1:12" s="66" customFormat="1">
      <c r="A346" s="72"/>
      <c r="B346" s="75"/>
      <c r="D346" s="76"/>
      <c r="K346" s="71"/>
      <c r="L346" s="72"/>
    </row>
    <row r="347" spans="1:12" s="66" customFormat="1">
      <c r="A347" s="72"/>
      <c r="B347" s="75"/>
      <c r="D347" s="76"/>
      <c r="K347" s="71"/>
      <c r="L347" s="72"/>
    </row>
    <row r="348" spans="1:12" s="66" customFormat="1">
      <c r="A348" s="72"/>
      <c r="B348" s="75"/>
      <c r="D348" s="76"/>
      <c r="K348" s="71"/>
      <c r="L348" s="72"/>
    </row>
    <row r="349" spans="1:12" s="66" customFormat="1">
      <c r="A349" s="72"/>
      <c r="B349" s="75"/>
      <c r="D349" s="76"/>
      <c r="K349" s="71"/>
      <c r="L349" s="72"/>
    </row>
    <row r="350" spans="1:12" s="66" customFormat="1">
      <c r="A350" s="72"/>
      <c r="B350" s="75"/>
      <c r="D350" s="76"/>
      <c r="K350" s="71"/>
      <c r="L350" s="72"/>
    </row>
    <row r="351" spans="1:12" s="66" customFormat="1">
      <c r="A351" s="72"/>
      <c r="B351" s="75"/>
      <c r="D351" s="76"/>
      <c r="K351" s="71"/>
      <c r="L351" s="72"/>
    </row>
    <row r="352" spans="1:12" s="66" customFormat="1">
      <c r="A352" s="72"/>
      <c r="B352" s="75"/>
      <c r="D352" s="76"/>
      <c r="K352" s="71"/>
      <c r="L352" s="72"/>
    </row>
    <row r="353" spans="1:12" s="66" customFormat="1">
      <c r="A353" s="72"/>
      <c r="B353" s="75"/>
      <c r="D353" s="76"/>
      <c r="K353" s="71"/>
      <c r="L353" s="72"/>
    </row>
    <row r="354" spans="1:12" s="66" customFormat="1">
      <c r="A354" s="72"/>
      <c r="B354" s="75"/>
      <c r="D354" s="76"/>
      <c r="K354" s="71"/>
      <c r="L354" s="72"/>
    </row>
    <row r="355" spans="1:12" s="66" customFormat="1">
      <c r="A355" s="72"/>
      <c r="B355" s="75"/>
      <c r="D355" s="76"/>
      <c r="K355" s="71"/>
      <c r="L355" s="72"/>
    </row>
    <row r="356" spans="1:12" s="66" customFormat="1">
      <c r="A356" s="72"/>
      <c r="B356" s="75"/>
      <c r="D356" s="76"/>
      <c r="K356" s="71"/>
      <c r="L356" s="72"/>
    </row>
    <row r="357" spans="1:12" s="66" customFormat="1">
      <c r="A357" s="72"/>
      <c r="B357" s="75"/>
      <c r="D357" s="76"/>
      <c r="K357" s="71"/>
      <c r="L357" s="72"/>
    </row>
    <row r="358" spans="1:12" s="66" customFormat="1">
      <c r="A358" s="72"/>
      <c r="B358" s="75"/>
      <c r="D358" s="76"/>
      <c r="K358" s="71"/>
      <c r="L358" s="72"/>
    </row>
    <row r="359" spans="1:12" s="66" customFormat="1">
      <c r="A359" s="72"/>
      <c r="B359" s="75"/>
      <c r="D359" s="76"/>
      <c r="K359" s="71"/>
      <c r="L359" s="72"/>
    </row>
    <row r="360" spans="1:12" s="66" customFormat="1">
      <c r="A360" s="72"/>
      <c r="B360" s="75"/>
      <c r="D360" s="76"/>
      <c r="K360" s="71"/>
      <c r="L360" s="72"/>
    </row>
    <row r="361" spans="1:12" s="66" customFormat="1">
      <c r="A361" s="72"/>
      <c r="B361" s="75"/>
      <c r="D361" s="76"/>
      <c r="K361" s="71"/>
      <c r="L361" s="72"/>
    </row>
    <row r="362" spans="1:12" s="66" customFormat="1">
      <c r="A362" s="72"/>
      <c r="B362" s="75"/>
      <c r="D362" s="76"/>
      <c r="K362" s="71"/>
      <c r="L362" s="72"/>
    </row>
    <row r="363" spans="1:12" s="66" customFormat="1">
      <c r="A363" s="72"/>
      <c r="B363" s="75"/>
      <c r="D363" s="76"/>
      <c r="K363" s="71"/>
      <c r="L363" s="72"/>
    </row>
    <row r="364" spans="1:12" s="66" customFormat="1">
      <c r="A364" s="72"/>
      <c r="B364" s="75"/>
      <c r="D364" s="76"/>
      <c r="K364" s="71"/>
      <c r="L364" s="72"/>
    </row>
    <row r="365" spans="1:12" s="66" customFormat="1">
      <c r="A365" s="72"/>
      <c r="B365" s="75"/>
      <c r="D365" s="76"/>
      <c r="K365" s="71"/>
      <c r="L365" s="72"/>
    </row>
    <row r="366" spans="1:12" s="66" customFormat="1">
      <c r="A366" s="72"/>
      <c r="B366" s="75"/>
      <c r="D366" s="76"/>
      <c r="K366" s="71"/>
      <c r="L366" s="72"/>
    </row>
    <row r="367" spans="1:12" s="66" customFormat="1">
      <c r="A367" s="72"/>
      <c r="B367" s="75"/>
      <c r="D367" s="76"/>
      <c r="K367" s="71"/>
      <c r="L367" s="72"/>
    </row>
    <row r="368" spans="1:12" s="66" customFormat="1">
      <c r="A368" s="72"/>
      <c r="B368" s="75"/>
      <c r="D368" s="76"/>
      <c r="K368" s="71"/>
      <c r="L368" s="72"/>
    </row>
    <row r="369" spans="1:12" s="66" customFormat="1">
      <c r="A369" s="72"/>
      <c r="B369" s="75"/>
      <c r="D369" s="76"/>
      <c r="K369" s="71"/>
      <c r="L369" s="72"/>
    </row>
    <row r="370" spans="1:12" s="66" customFormat="1">
      <c r="A370" s="72"/>
      <c r="B370" s="75"/>
      <c r="D370" s="76"/>
      <c r="K370" s="71"/>
      <c r="L370" s="72"/>
    </row>
    <row r="371" spans="1:12" s="66" customFormat="1">
      <c r="A371" s="72"/>
      <c r="B371" s="75"/>
      <c r="D371" s="76"/>
      <c r="K371" s="71"/>
      <c r="L371" s="72"/>
    </row>
    <row r="372" spans="1:12" s="66" customFormat="1">
      <c r="A372" s="72"/>
      <c r="B372" s="75"/>
      <c r="D372" s="76"/>
      <c r="K372" s="71"/>
      <c r="L372" s="72"/>
    </row>
    <row r="373" spans="1:12" s="66" customFormat="1">
      <c r="A373" s="72"/>
      <c r="B373" s="75"/>
      <c r="D373" s="76"/>
      <c r="K373" s="71"/>
      <c r="L373" s="72"/>
    </row>
    <row r="374" spans="1:12" s="66" customFormat="1">
      <c r="A374" s="72"/>
      <c r="B374" s="75"/>
      <c r="D374" s="76"/>
      <c r="K374" s="71"/>
      <c r="L374" s="72"/>
    </row>
    <row r="375" spans="1:12" s="66" customFormat="1">
      <c r="A375" s="72"/>
      <c r="B375" s="75"/>
      <c r="D375" s="76"/>
      <c r="K375" s="71"/>
      <c r="L375" s="72"/>
    </row>
    <row r="376" spans="1:12" s="66" customFormat="1">
      <c r="A376" s="72"/>
      <c r="B376" s="75"/>
      <c r="D376" s="76"/>
      <c r="K376" s="71"/>
      <c r="L376" s="72"/>
    </row>
    <row r="377" spans="1:12" s="66" customFormat="1">
      <c r="A377" s="72"/>
      <c r="B377" s="75"/>
      <c r="D377" s="76"/>
      <c r="K377" s="71"/>
      <c r="L377" s="72"/>
    </row>
    <row r="378" spans="1:12" s="66" customFormat="1">
      <c r="A378" s="72"/>
      <c r="B378" s="75"/>
      <c r="D378" s="76"/>
      <c r="K378" s="71"/>
      <c r="L378" s="72"/>
    </row>
    <row r="379" spans="1:12" s="66" customFormat="1">
      <c r="A379" s="72"/>
      <c r="B379" s="75"/>
      <c r="D379" s="76"/>
      <c r="K379" s="71"/>
      <c r="L379" s="72"/>
    </row>
    <row r="380" spans="1:12" s="66" customFormat="1">
      <c r="A380" s="72"/>
      <c r="B380" s="75"/>
      <c r="D380" s="76"/>
      <c r="K380" s="71"/>
      <c r="L380" s="72"/>
    </row>
    <row r="381" spans="1:12" s="66" customFormat="1">
      <c r="A381" s="72"/>
      <c r="B381" s="75"/>
      <c r="D381" s="76"/>
      <c r="K381" s="71"/>
      <c r="L381" s="72"/>
    </row>
    <row r="382" spans="1:12" s="66" customFormat="1">
      <c r="A382" s="72"/>
      <c r="B382" s="75"/>
      <c r="D382" s="76"/>
      <c r="K382" s="71"/>
      <c r="L382" s="72"/>
    </row>
    <row r="383" spans="1:12" s="66" customFormat="1">
      <c r="A383" s="72"/>
      <c r="B383" s="75"/>
      <c r="D383" s="76"/>
      <c r="K383" s="71"/>
      <c r="L383" s="72"/>
    </row>
    <row r="384" spans="1:12" s="66" customFormat="1">
      <c r="A384" s="72"/>
      <c r="B384" s="75"/>
      <c r="D384" s="76"/>
      <c r="K384" s="71"/>
      <c r="L384" s="72"/>
    </row>
    <row r="385" spans="1:12" s="66" customFormat="1">
      <c r="A385" s="72"/>
      <c r="B385" s="75"/>
      <c r="D385" s="76"/>
      <c r="K385" s="71"/>
      <c r="L385" s="72"/>
    </row>
    <row r="386" spans="1:12" s="66" customFormat="1">
      <c r="A386" s="72"/>
      <c r="B386" s="75"/>
      <c r="D386" s="76"/>
      <c r="K386" s="71"/>
      <c r="L386" s="72"/>
    </row>
    <row r="387" spans="1:12" s="66" customFormat="1">
      <c r="A387" s="72"/>
      <c r="B387" s="75"/>
      <c r="D387" s="76"/>
      <c r="K387" s="71"/>
      <c r="L387" s="72"/>
    </row>
    <row r="388" spans="1:12" s="66" customFormat="1">
      <c r="A388" s="72"/>
      <c r="B388" s="75"/>
      <c r="D388" s="76"/>
      <c r="K388" s="71"/>
      <c r="L388" s="72"/>
    </row>
    <row r="389" spans="1:12" s="66" customFormat="1">
      <c r="A389" s="72"/>
      <c r="B389" s="75"/>
      <c r="D389" s="76"/>
      <c r="K389" s="71"/>
      <c r="L389" s="72"/>
    </row>
    <row r="390" spans="1:12" s="66" customFormat="1">
      <c r="A390" s="72"/>
      <c r="B390" s="75"/>
      <c r="D390" s="76"/>
      <c r="K390" s="71"/>
      <c r="L390" s="72"/>
    </row>
    <row r="391" spans="1:12" s="66" customFormat="1">
      <c r="A391" s="72"/>
      <c r="B391" s="75"/>
      <c r="D391" s="76"/>
      <c r="K391" s="71"/>
      <c r="L391" s="72"/>
    </row>
    <row r="392" spans="1:12" s="66" customFormat="1">
      <c r="A392" s="72"/>
      <c r="B392" s="75"/>
      <c r="D392" s="76"/>
      <c r="K392" s="71"/>
      <c r="L392" s="72"/>
    </row>
    <row r="393" spans="1:12" s="66" customFormat="1">
      <c r="A393" s="72"/>
      <c r="B393" s="75"/>
      <c r="D393" s="76"/>
      <c r="K393" s="71"/>
      <c r="L393" s="72"/>
    </row>
    <row r="394" spans="1:12" s="66" customFormat="1">
      <c r="A394" s="72"/>
      <c r="B394" s="75"/>
      <c r="D394" s="76"/>
      <c r="K394" s="71"/>
      <c r="L394" s="72"/>
    </row>
    <row r="395" spans="1:12" s="66" customFormat="1">
      <c r="A395" s="72"/>
      <c r="B395" s="75"/>
      <c r="D395" s="76"/>
      <c r="K395" s="71"/>
      <c r="L395" s="72"/>
    </row>
    <row r="396" spans="1:12" s="66" customFormat="1">
      <c r="A396" s="72"/>
      <c r="B396" s="75"/>
      <c r="D396" s="76"/>
      <c r="K396" s="71"/>
      <c r="L396" s="72"/>
    </row>
    <row r="397" spans="1:12" s="66" customFormat="1">
      <c r="A397" s="72"/>
      <c r="B397" s="75"/>
      <c r="D397" s="76"/>
      <c r="K397" s="71"/>
      <c r="L397" s="72"/>
    </row>
    <row r="398" spans="1:12" s="66" customFormat="1">
      <c r="A398" s="72"/>
      <c r="B398" s="75"/>
      <c r="D398" s="76"/>
      <c r="K398" s="71"/>
      <c r="L398" s="72"/>
    </row>
    <row r="399" spans="1:12" s="66" customFormat="1">
      <c r="A399" s="72"/>
      <c r="B399" s="75"/>
      <c r="D399" s="76"/>
      <c r="K399" s="71"/>
      <c r="L399" s="72"/>
    </row>
    <row r="400" spans="1:12" s="66" customFormat="1">
      <c r="A400" s="72"/>
      <c r="B400" s="75"/>
      <c r="D400" s="76"/>
      <c r="K400" s="71"/>
      <c r="L400" s="72"/>
    </row>
    <row r="401" spans="1:12" s="66" customFormat="1">
      <c r="A401" s="72"/>
      <c r="B401" s="75"/>
      <c r="D401" s="76"/>
      <c r="K401" s="71"/>
      <c r="L401" s="72"/>
    </row>
    <row r="402" spans="1:12" s="66" customFormat="1">
      <c r="A402" s="72"/>
      <c r="B402" s="75"/>
      <c r="D402" s="76"/>
      <c r="K402" s="71"/>
      <c r="L402" s="72"/>
    </row>
    <row r="403" spans="1:12" s="66" customFormat="1">
      <c r="A403" s="72"/>
      <c r="B403" s="75"/>
      <c r="D403" s="76"/>
      <c r="K403" s="71"/>
      <c r="L403" s="72"/>
    </row>
    <row r="404" spans="1:12" s="66" customFormat="1">
      <c r="A404" s="72"/>
      <c r="B404" s="75"/>
      <c r="D404" s="76"/>
      <c r="K404" s="71"/>
      <c r="L404" s="72"/>
    </row>
    <row r="405" spans="1:12" s="66" customFormat="1">
      <c r="A405" s="72"/>
      <c r="B405" s="75"/>
      <c r="D405" s="76"/>
      <c r="K405" s="71"/>
      <c r="L405" s="72"/>
    </row>
    <row r="406" spans="1:12" s="66" customFormat="1">
      <c r="A406" s="72"/>
      <c r="B406" s="75"/>
      <c r="D406" s="76"/>
      <c r="K406" s="71"/>
      <c r="L406" s="72"/>
    </row>
    <row r="407" spans="1:12" s="66" customFormat="1">
      <c r="A407" s="72"/>
      <c r="B407" s="75"/>
      <c r="D407" s="76"/>
      <c r="K407" s="71"/>
      <c r="L407" s="72"/>
    </row>
    <row r="408" spans="1:12" s="66" customFormat="1">
      <c r="A408" s="72"/>
      <c r="B408" s="75"/>
      <c r="D408" s="76"/>
      <c r="K408" s="71"/>
      <c r="L408" s="72"/>
    </row>
    <row r="409" spans="1:12" s="66" customFormat="1">
      <c r="A409" s="72"/>
      <c r="B409" s="75"/>
      <c r="D409" s="76"/>
      <c r="K409" s="71"/>
      <c r="L409" s="72"/>
    </row>
    <row r="410" spans="1:12" s="66" customFormat="1">
      <c r="A410" s="72"/>
      <c r="B410" s="75"/>
      <c r="D410" s="76"/>
      <c r="K410" s="71"/>
      <c r="L410" s="72"/>
    </row>
    <row r="411" spans="1:12" s="66" customFormat="1">
      <c r="A411" s="72"/>
      <c r="B411" s="75"/>
      <c r="D411" s="76"/>
      <c r="K411" s="71"/>
      <c r="L411" s="72"/>
    </row>
    <row r="412" spans="1:12" s="66" customFormat="1">
      <c r="A412" s="72"/>
      <c r="B412" s="75"/>
      <c r="D412" s="76"/>
      <c r="K412" s="71"/>
      <c r="L412" s="72"/>
    </row>
    <row r="413" spans="1:12" s="66" customFormat="1">
      <c r="A413" s="72"/>
      <c r="B413" s="75"/>
      <c r="D413" s="76"/>
      <c r="K413" s="71"/>
      <c r="L413" s="72"/>
    </row>
    <row r="414" spans="1:12" s="66" customFormat="1">
      <c r="A414" s="72"/>
      <c r="B414" s="75"/>
      <c r="D414" s="76"/>
      <c r="K414" s="71"/>
      <c r="L414" s="72"/>
    </row>
    <row r="415" spans="1:12" s="66" customFormat="1">
      <c r="A415" s="72"/>
      <c r="B415" s="75"/>
      <c r="D415" s="76"/>
      <c r="K415" s="71"/>
      <c r="L415" s="72"/>
    </row>
    <row r="416" spans="1:12" s="66" customFormat="1">
      <c r="A416" s="72"/>
      <c r="B416" s="75"/>
      <c r="D416" s="76"/>
      <c r="K416" s="71"/>
      <c r="L416" s="72"/>
    </row>
    <row r="417" spans="1:12" s="66" customFormat="1">
      <c r="A417" s="72"/>
      <c r="B417" s="75"/>
      <c r="D417" s="76"/>
      <c r="K417" s="71"/>
      <c r="L417" s="72"/>
    </row>
    <row r="418" spans="1:12" s="66" customFormat="1">
      <c r="A418" s="72"/>
      <c r="B418" s="75"/>
      <c r="D418" s="76"/>
      <c r="K418" s="71"/>
      <c r="L418" s="72"/>
    </row>
    <row r="419" spans="1:12" s="66" customFormat="1">
      <c r="A419" s="72"/>
      <c r="B419" s="75"/>
      <c r="D419" s="76"/>
      <c r="K419" s="71"/>
      <c r="L419" s="72"/>
    </row>
    <row r="420" spans="1:12" s="66" customFormat="1">
      <c r="A420" s="72"/>
      <c r="B420" s="75"/>
      <c r="D420" s="76"/>
      <c r="K420" s="71"/>
      <c r="L420" s="72"/>
    </row>
    <row r="421" spans="1:12" s="66" customFormat="1">
      <c r="A421" s="72"/>
      <c r="B421" s="75"/>
      <c r="D421" s="76"/>
      <c r="K421" s="71"/>
      <c r="L421" s="72"/>
    </row>
    <row r="422" spans="1:12" s="66" customFormat="1">
      <c r="A422" s="72"/>
      <c r="B422" s="75"/>
      <c r="D422" s="76"/>
      <c r="K422" s="71"/>
      <c r="L422" s="72"/>
    </row>
    <row r="423" spans="1:12" s="66" customFormat="1">
      <c r="A423" s="72"/>
      <c r="B423" s="75"/>
      <c r="D423" s="76"/>
      <c r="K423" s="71"/>
      <c r="L423" s="72"/>
    </row>
    <row r="424" spans="1:12" s="66" customFormat="1">
      <c r="A424" s="72"/>
      <c r="B424" s="75"/>
      <c r="D424" s="76"/>
      <c r="K424" s="71"/>
      <c r="L424" s="72"/>
    </row>
    <row r="425" spans="1:12" s="66" customFormat="1">
      <c r="A425" s="72"/>
      <c r="B425" s="75"/>
      <c r="D425" s="76"/>
      <c r="K425" s="71"/>
      <c r="L425" s="72"/>
    </row>
    <row r="426" spans="1:12" s="66" customFormat="1">
      <c r="A426" s="72"/>
      <c r="B426" s="75"/>
      <c r="D426" s="76"/>
      <c r="K426" s="71"/>
      <c r="L426" s="72"/>
    </row>
    <row r="427" spans="1:12" s="66" customFormat="1">
      <c r="A427" s="72"/>
      <c r="B427" s="75"/>
      <c r="D427" s="76"/>
      <c r="K427" s="71"/>
      <c r="L427" s="72"/>
    </row>
    <row r="428" spans="1:12" s="66" customFormat="1">
      <c r="A428" s="72"/>
      <c r="B428" s="75"/>
      <c r="D428" s="76"/>
      <c r="K428" s="71"/>
      <c r="L428" s="72"/>
    </row>
    <row r="429" spans="1:12" s="66" customFormat="1">
      <c r="A429" s="72"/>
      <c r="B429" s="75"/>
      <c r="D429" s="76"/>
      <c r="K429" s="71"/>
      <c r="L429" s="72"/>
    </row>
    <row r="430" spans="1:12" s="66" customFormat="1">
      <c r="A430" s="72"/>
      <c r="B430" s="75"/>
      <c r="D430" s="76"/>
      <c r="K430" s="71"/>
      <c r="L430" s="72"/>
    </row>
    <row r="431" spans="1:12" s="66" customFormat="1">
      <c r="A431" s="72"/>
      <c r="B431" s="75"/>
      <c r="D431" s="76"/>
      <c r="K431" s="71"/>
      <c r="L431" s="72"/>
    </row>
    <row r="432" spans="1:12" s="66" customFormat="1">
      <c r="A432" s="72"/>
      <c r="B432" s="75"/>
      <c r="D432" s="76"/>
      <c r="K432" s="71"/>
      <c r="L432" s="72"/>
    </row>
    <row r="433" spans="1:12" s="66" customFormat="1">
      <c r="A433" s="72"/>
      <c r="B433" s="75"/>
      <c r="D433" s="76"/>
      <c r="K433" s="71"/>
      <c r="L433" s="72"/>
    </row>
    <row r="434" spans="1:12" s="66" customFormat="1">
      <c r="A434" s="72"/>
      <c r="B434" s="75"/>
      <c r="D434" s="76"/>
      <c r="K434" s="71"/>
      <c r="L434" s="72"/>
    </row>
    <row r="435" spans="1:12" s="66" customFormat="1">
      <c r="A435" s="72"/>
      <c r="B435" s="75"/>
      <c r="D435" s="76"/>
      <c r="K435" s="71"/>
      <c r="L435" s="72"/>
    </row>
    <row r="436" spans="1:12" s="66" customFormat="1">
      <c r="A436" s="72"/>
      <c r="B436" s="75"/>
      <c r="D436" s="76"/>
      <c r="K436" s="71"/>
      <c r="L436" s="72"/>
    </row>
    <row r="437" spans="1:12" s="66" customFormat="1">
      <c r="A437" s="72"/>
      <c r="B437" s="75"/>
      <c r="D437" s="76"/>
      <c r="K437" s="71"/>
      <c r="L437" s="72"/>
    </row>
    <row r="438" spans="1:12" s="66" customFormat="1">
      <c r="A438" s="72"/>
      <c r="B438" s="75"/>
      <c r="D438" s="76"/>
      <c r="K438" s="71"/>
      <c r="L438" s="72"/>
    </row>
    <row r="439" spans="1:12" s="66" customFormat="1">
      <c r="A439" s="72"/>
      <c r="B439" s="75"/>
      <c r="D439" s="76"/>
      <c r="K439" s="71"/>
      <c r="L439" s="72"/>
    </row>
    <row r="440" spans="1:12" s="66" customFormat="1">
      <c r="A440" s="72"/>
      <c r="B440" s="75"/>
      <c r="D440" s="76"/>
      <c r="K440" s="71"/>
      <c r="L440" s="72"/>
    </row>
    <row r="441" spans="1:12" s="66" customFormat="1">
      <c r="A441" s="72"/>
      <c r="B441" s="75"/>
      <c r="D441" s="76"/>
      <c r="K441" s="71"/>
      <c r="L441" s="72"/>
    </row>
    <row r="442" spans="1:12" s="66" customFormat="1">
      <c r="A442" s="72"/>
      <c r="B442" s="75"/>
      <c r="D442" s="76"/>
      <c r="K442" s="71"/>
      <c r="L442" s="72"/>
    </row>
    <row r="443" spans="1:12" s="66" customFormat="1">
      <c r="A443" s="72"/>
      <c r="B443" s="75"/>
      <c r="D443" s="76"/>
      <c r="K443" s="71"/>
      <c r="L443" s="72"/>
    </row>
  </sheetData>
  <mergeCells count="42">
    <mergeCell ref="F8:F9"/>
    <mergeCell ref="G8:G9"/>
    <mergeCell ref="H8:H9"/>
    <mergeCell ref="I8:I9"/>
    <mergeCell ref="J8:J9"/>
    <mergeCell ref="K1:K5"/>
    <mergeCell ref="L2:L5"/>
    <mergeCell ref="E5:G5"/>
    <mergeCell ref="H5:J5"/>
    <mergeCell ref="A6:A14"/>
    <mergeCell ref="L6:L14"/>
    <mergeCell ref="C8:C9"/>
    <mergeCell ref="B8:B9"/>
    <mergeCell ref="A1:A5"/>
    <mergeCell ref="B1:B5"/>
    <mergeCell ref="C1:C5"/>
    <mergeCell ref="D1:D5"/>
    <mergeCell ref="E1:G1"/>
    <mergeCell ref="H1:J1"/>
    <mergeCell ref="E8:E9"/>
    <mergeCell ref="K8:K9"/>
    <mergeCell ref="A15:A22"/>
    <mergeCell ref="L15:L22"/>
    <mergeCell ref="A23:A33"/>
    <mergeCell ref="L23:L33"/>
    <mergeCell ref="A34:A36"/>
    <mergeCell ref="L34:L36"/>
    <mergeCell ref="E56:G56"/>
    <mergeCell ref="H56:J56"/>
    <mergeCell ref="E58:J58"/>
    <mergeCell ref="A37:A39"/>
    <mergeCell ref="L37:L39"/>
    <mergeCell ref="A40:A52"/>
    <mergeCell ref="L40:L52"/>
    <mergeCell ref="A53:A56"/>
    <mergeCell ref="B53:D53"/>
    <mergeCell ref="L53:L56"/>
    <mergeCell ref="B54:D54"/>
    <mergeCell ref="E54:G54"/>
    <mergeCell ref="H54:J54"/>
    <mergeCell ref="B55:D55"/>
    <mergeCell ref="B56:D56"/>
  </mergeCells>
  <pageMargins left="0.511811024" right="0.511811024" top="0.78740157499999996" bottom="0.78740157499999996" header="0.31496062000000002" footer="0.31496062000000002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4" zoomScale="90" zoomScaleNormal="90" workbookViewId="0">
      <selection activeCell="G46" sqref="G46"/>
    </sheetView>
  </sheetViews>
  <sheetFormatPr defaultRowHeight="15"/>
  <cols>
    <col min="1" max="1" width="17.7109375" customWidth="1"/>
    <col min="2" max="2" width="10.85546875" bestFit="1" customWidth="1"/>
    <col min="4" max="4" width="16.7109375" customWidth="1"/>
    <col min="5" max="5" width="20" customWidth="1"/>
    <col min="6" max="6" width="14.42578125" customWidth="1"/>
  </cols>
  <sheetData>
    <row r="1" spans="1:9">
      <c r="A1" s="133" t="s">
        <v>32</v>
      </c>
      <c r="B1" s="134"/>
      <c r="C1" s="134"/>
      <c r="D1" s="134" t="s">
        <v>33</v>
      </c>
      <c r="E1" s="134"/>
      <c r="F1" s="134"/>
      <c r="G1" s="135"/>
      <c r="H1" s="79"/>
      <c r="I1" s="57"/>
    </row>
    <row r="2" spans="1:9">
      <c r="A2" s="2" t="s">
        <v>34</v>
      </c>
      <c r="B2" s="3" t="s">
        <v>35</v>
      </c>
      <c r="C2" s="3" t="s">
        <v>36</v>
      </c>
      <c r="D2" s="3" t="s">
        <v>34</v>
      </c>
      <c r="E2" s="3" t="s">
        <v>37</v>
      </c>
      <c r="F2" s="3" t="s">
        <v>38</v>
      </c>
      <c r="G2" s="136"/>
      <c r="H2" s="80"/>
      <c r="I2" s="58"/>
    </row>
    <row r="3" spans="1:9">
      <c r="A3" s="5" t="s">
        <v>39</v>
      </c>
      <c r="B3" s="6">
        <v>0.33</v>
      </c>
      <c r="C3" s="7">
        <f>(A12+C12)</f>
        <v>4.8251999999999997</v>
      </c>
      <c r="D3" s="8" t="s">
        <v>40</v>
      </c>
      <c r="E3" s="6">
        <v>0</v>
      </c>
      <c r="F3" s="7">
        <f>E3+H12</f>
        <v>5.2332000000000001</v>
      </c>
      <c r="G3" s="80"/>
      <c r="H3" s="80"/>
      <c r="I3" s="58"/>
    </row>
    <row r="4" spans="1:9">
      <c r="A4" s="9" t="s">
        <v>41</v>
      </c>
      <c r="B4" s="7">
        <f>C3+0.01</f>
        <v>4.8351999999999995</v>
      </c>
      <c r="C4" s="7">
        <f>B5-0.01</f>
        <v>16.6374</v>
      </c>
      <c r="D4" s="10" t="s">
        <v>42</v>
      </c>
      <c r="E4" s="7">
        <f>F3+0.01</f>
        <v>5.2431999999999999</v>
      </c>
      <c r="F4" s="7">
        <f>E5-0.01</f>
        <v>19.1784</v>
      </c>
      <c r="G4" s="80"/>
      <c r="H4" s="80"/>
      <c r="I4" s="58"/>
    </row>
    <row r="5" spans="1:9">
      <c r="A5" s="11" t="s">
        <v>43</v>
      </c>
      <c r="B5" s="7">
        <f>(B7+B3)/2</f>
        <v>16.647400000000001</v>
      </c>
      <c r="C5" s="7">
        <f>(C7+C3)/2</f>
        <v>21.142600000000002</v>
      </c>
      <c r="D5" s="12" t="s">
        <v>44</v>
      </c>
      <c r="E5" s="7">
        <f>(E7+E3)/2</f>
        <v>19.188400000000001</v>
      </c>
      <c r="F5" s="7">
        <f>(F7+F3)/2</f>
        <v>24.421599999999998</v>
      </c>
      <c r="G5" s="80"/>
      <c r="H5" s="80"/>
      <c r="I5" s="58"/>
    </row>
    <row r="6" spans="1:9">
      <c r="A6" s="13" t="s">
        <v>45</v>
      </c>
      <c r="B6" s="7">
        <f>C5+0.01</f>
        <v>21.152600000000003</v>
      </c>
      <c r="C6" s="7">
        <f>B7-0.01</f>
        <v>32.954800000000006</v>
      </c>
      <c r="D6" s="14" t="s">
        <v>46</v>
      </c>
      <c r="E6" s="7">
        <f>F5+0.01</f>
        <v>24.4316</v>
      </c>
      <c r="F6" s="7">
        <f>E7-0.01</f>
        <v>38.366800000000005</v>
      </c>
      <c r="G6" s="15"/>
      <c r="H6" s="15"/>
      <c r="I6" s="58"/>
    </row>
    <row r="7" spans="1:9">
      <c r="A7" s="16" t="s">
        <v>47</v>
      </c>
      <c r="B7" s="7">
        <f>C7-C12</f>
        <v>32.964800000000004</v>
      </c>
      <c r="C7" s="6">
        <v>37.46</v>
      </c>
      <c r="D7" s="17" t="s">
        <v>48</v>
      </c>
      <c r="E7" s="7">
        <f>F7-F3</f>
        <v>38.376800000000003</v>
      </c>
      <c r="F7" s="6">
        <v>43.61</v>
      </c>
      <c r="G7" s="15"/>
      <c r="H7" s="15"/>
      <c r="I7" s="58"/>
    </row>
    <row r="8" spans="1:9">
      <c r="A8" s="18"/>
      <c r="I8" s="58"/>
    </row>
    <row r="9" spans="1:9">
      <c r="A9" s="18"/>
      <c r="I9" s="58"/>
    </row>
    <row r="10" spans="1:9">
      <c r="A10" s="18"/>
      <c r="I10" s="58"/>
    </row>
    <row r="11" spans="1:9">
      <c r="A11" s="18"/>
      <c r="I11" s="58"/>
    </row>
    <row r="12" spans="1:9">
      <c r="A12" s="19">
        <v>0.33</v>
      </c>
      <c r="B12" s="20"/>
      <c r="C12" s="21">
        <f>A16*D12</f>
        <v>4.4951999999999996</v>
      </c>
      <c r="D12" s="22">
        <v>0.12</v>
      </c>
      <c r="E12" s="23"/>
      <c r="F12" s="24">
        <v>0</v>
      </c>
      <c r="G12" s="23"/>
      <c r="H12" s="21">
        <f>F16*I12</f>
        <v>5.2332000000000001</v>
      </c>
      <c r="I12" s="59">
        <v>0.12</v>
      </c>
    </row>
    <row r="13" spans="1:9">
      <c r="A13" s="25">
        <f>(A14+A12)/2</f>
        <v>9.6124999999999989</v>
      </c>
      <c r="B13" s="21">
        <f>(A13+A12)/2</f>
        <v>4.9712499999999995</v>
      </c>
      <c r="C13" s="21"/>
      <c r="D13" s="20"/>
      <c r="E13" s="23"/>
      <c r="F13" s="21">
        <f>(F14+F12)/2</f>
        <v>10.9025</v>
      </c>
      <c r="G13" s="26">
        <f>(F13+F12)/2</f>
        <v>5.4512499999999999</v>
      </c>
      <c r="H13" s="21"/>
      <c r="I13" s="60"/>
    </row>
    <row r="14" spans="1:9">
      <c r="A14" s="25">
        <f>(A16+A12)/2</f>
        <v>18.895</v>
      </c>
      <c r="B14" s="21">
        <f>(A14+A13)/2</f>
        <v>14.25375</v>
      </c>
      <c r="C14" s="21"/>
      <c r="D14" s="20"/>
      <c r="E14" s="23"/>
      <c r="F14" s="21">
        <f>(F16+F12)/2</f>
        <v>21.805</v>
      </c>
      <c r="G14" s="26">
        <f>(F14+F13)/2</f>
        <v>16.353749999999998</v>
      </c>
      <c r="H14" s="21"/>
      <c r="I14" s="60"/>
    </row>
    <row r="15" spans="1:9">
      <c r="A15" s="25">
        <f>(A16+A14)/2</f>
        <v>28.177500000000002</v>
      </c>
      <c r="B15" s="21">
        <f>(A15+A14)/2</f>
        <v>23.536250000000003</v>
      </c>
      <c r="C15" s="21"/>
      <c r="D15" s="22"/>
      <c r="E15" s="23"/>
      <c r="F15" s="21">
        <f>(F16+F14)/2</f>
        <v>32.707499999999996</v>
      </c>
      <c r="G15" s="26">
        <f>(F15+F14)/2</f>
        <v>27.256249999999998</v>
      </c>
      <c r="H15" s="21"/>
      <c r="I15" s="60"/>
    </row>
    <row r="16" spans="1:9" ht="15.75" thickBot="1">
      <c r="A16" s="27">
        <v>37.46</v>
      </c>
      <c r="B16" s="28">
        <f>(A16+A15)/2</f>
        <v>32.818750000000001</v>
      </c>
      <c r="C16" s="28">
        <f>A16*D16</f>
        <v>4.4951999999999996</v>
      </c>
      <c r="D16" s="29">
        <v>0.12</v>
      </c>
      <c r="E16" s="30"/>
      <c r="F16" s="31">
        <v>43.61</v>
      </c>
      <c r="G16" s="32">
        <f>(F16+F15)/2</f>
        <v>38.158749999999998</v>
      </c>
      <c r="H16" s="28">
        <f>F16*I16</f>
        <v>5.2332000000000001</v>
      </c>
      <c r="I16" s="61">
        <v>0.12</v>
      </c>
    </row>
    <row r="17" spans="1:9">
      <c r="A17" s="33"/>
      <c r="B17" s="34"/>
      <c r="C17" s="34"/>
      <c r="D17" s="35"/>
      <c r="F17" s="33"/>
      <c r="G17" s="36"/>
      <c r="H17" s="34"/>
      <c r="I17" s="35"/>
    </row>
    <row r="18" spans="1:9">
      <c r="A18" s="33"/>
      <c r="B18" s="34"/>
      <c r="C18" s="34"/>
      <c r="D18" s="35"/>
      <c r="F18" s="33"/>
      <c r="G18" s="36"/>
      <c r="H18" s="34"/>
      <c r="I18" s="35"/>
    </row>
    <row r="19" spans="1:9" ht="15.75" thickBot="1"/>
    <row r="20" spans="1:9">
      <c r="A20" s="37"/>
      <c r="B20" s="38"/>
      <c r="C20" s="39"/>
      <c r="D20" s="40"/>
      <c r="E20" s="40"/>
      <c r="F20" s="40"/>
      <c r="G20" s="38"/>
      <c r="H20" s="40"/>
      <c r="I20" s="57"/>
    </row>
    <row r="21" spans="1:9">
      <c r="A21" s="18"/>
      <c r="C21" s="36"/>
      <c r="D21" s="36"/>
      <c r="F21" s="36"/>
      <c r="G21" s="41"/>
      <c r="H21" s="36"/>
      <c r="I21" s="58"/>
    </row>
    <row r="22" spans="1:9">
      <c r="A22" s="18" t="s">
        <v>49</v>
      </c>
      <c r="E22" t="s">
        <v>50</v>
      </c>
      <c r="G22" s="36"/>
      <c r="I22" s="58"/>
    </row>
    <row r="23" spans="1:9">
      <c r="A23" s="18"/>
      <c r="I23" s="58"/>
    </row>
    <row r="24" spans="1:9">
      <c r="A24" s="23" t="s">
        <v>55</v>
      </c>
      <c r="B24" s="91" t="s">
        <v>199</v>
      </c>
      <c r="E24" s="23" t="s">
        <v>56</v>
      </c>
      <c r="F24" s="91" t="s">
        <v>200</v>
      </c>
      <c r="I24" s="58"/>
    </row>
    <row r="25" spans="1:9">
      <c r="A25" s="23" t="s">
        <v>53</v>
      </c>
      <c r="B25" s="42" t="s">
        <v>54</v>
      </c>
      <c r="E25" s="23" t="s">
        <v>53</v>
      </c>
      <c r="F25" s="42" t="s">
        <v>54</v>
      </c>
      <c r="I25" s="58"/>
    </row>
    <row r="26" spans="1:9">
      <c r="A26" s="43" t="s">
        <v>39</v>
      </c>
      <c r="B26" s="92" t="s">
        <v>203</v>
      </c>
      <c r="E26" s="43" t="s">
        <v>40</v>
      </c>
      <c r="F26" s="92" t="s">
        <v>213</v>
      </c>
      <c r="I26" s="58"/>
    </row>
    <row r="27" spans="1:9">
      <c r="A27" s="44" t="s">
        <v>41</v>
      </c>
      <c r="B27" s="92" t="s">
        <v>204</v>
      </c>
      <c r="E27" s="44" t="s">
        <v>42</v>
      </c>
      <c r="F27" s="92" t="s">
        <v>214</v>
      </c>
      <c r="I27" s="58"/>
    </row>
    <row r="28" spans="1:9">
      <c r="A28" s="45" t="s">
        <v>43</v>
      </c>
      <c r="B28" s="92" t="s">
        <v>205</v>
      </c>
      <c r="E28" s="45" t="s">
        <v>43</v>
      </c>
      <c r="F28" s="92" t="s">
        <v>215</v>
      </c>
      <c r="I28" s="58"/>
    </row>
    <row r="29" spans="1:9">
      <c r="A29" s="46" t="s">
        <v>45</v>
      </c>
      <c r="B29" s="92" t="s">
        <v>206</v>
      </c>
      <c r="E29" s="46" t="s">
        <v>46</v>
      </c>
      <c r="F29" s="92" t="s">
        <v>216</v>
      </c>
      <c r="I29" s="58"/>
    </row>
    <row r="30" spans="1:9">
      <c r="A30" s="104" t="s">
        <v>47</v>
      </c>
      <c r="B30" s="92" t="s">
        <v>207</v>
      </c>
      <c r="E30" s="104" t="s">
        <v>48</v>
      </c>
      <c r="F30" s="92" t="s">
        <v>217</v>
      </c>
      <c r="I30" s="58"/>
    </row>
    <row r="31" spans="1:9">
      <c r="A31" s="18"/>
      <c r="B31" s="48"/>
      <c r="F31" s="48"/>
      <c r="I31" s="58"/>
    </row>
    <row r="32" spans="1:9">
      <c r="A32" s="18"/>
      <c r="B32" s="48"/>
      <c r="F32" s="48"/>
      <c r="I32" s="58"/>
    </row>
    <row r="33" spans="1:9">
      <c r="A33" s="23" t="s">
        <v>59</v>
      </c>
      <c r="B33" s="91" t="s">
        <v>201</v>
      </c>
      <c r="E33" s="23" t="s">
        <v>60</v>
      </c>
      <c r="F33" s="91" t="s">
        <v>202</v>
      </c>
      <c r="I33" s="58"/>
    </row>
    <row r="34" spans="1:9">
      <c r="A34" s="23" t="s">
        <v>53</v>
      </c>
      <c r="B34" s="42" t="s">
        <v>54</v>
      </c>
      <c r="E34" s="23" t="s">
        <v>53</v>
      </c>
      <c r="F34" s="42" t="s">
        <v>54</v>
      </c>
      <c r="I34" s="58"/>
    </row>
    <row r="35" spans="1:9">
      <c r="A35" s="43" t="s">
        <v>39</v>
      </c>
      <c r="B35" s="92" t="s">
        <v>208</v>
      </c>
      <c r="E35" s="43" t="s">
        <v>40</v>
      </c>
      <c r="F35" s="92" t="s">
        <v>218</v>
      </c>
      <c r="I35" s="58"/>
    </row>
    <row r="36" spans="1:9">
      <c r="A36" s="44" t="s">
        <v>41</v>
      </c>
      <c r="B36" s="92" t="s">
        <v>209</v>
      </c>
      <c r="E36" s="44" t="s">
        <v>42</v>
      </c>
      <c r="F36" s="92" t="s">
        <v>219</v>
      </c>
      <c r="I36" s="58"/>
    </row>
    <row r="37" spans="1:9">
      <c r="A37" s="45" t="s">
        <v>43</v>
      </c>
      <c r="B37" s="92" t="s">
        <v>210</v>
      </c>
      <c r="E37" s="45" t="s">
        <v>43</v>
      </c>
      <c r="F37" s="92" t="s">
        <v>220</v>
      </c>
      <c r="I37" s="58"/>
    </row>
    <row r="38" spans="1:9">
      <c r="A38" s="46" t="s">
        <v>45</v>
      </c>
      <c r="B38" s="92" t="s">
        <v>211</v>
      </c>
      <c r="E38" s="46" t="s">
        <v>46</v>
      </c>
      <c r="F38" s="92" t="s">
        <v>221</v>
      </c>
      <c r="I38" s="58"/>
    </row>
    <row r="39" spans="1:9">
      <c r="A39" s="104" t="s">
        <v>47</v>
      </c>
      <c r="B39" s="92" t="s">
        <v>212</v>
      </c>
      <c r="E39" s="104" t="s">
        <v>48</v>
      </c>
      <c r="F39" s="92" t="s">
        <v>222</v>
      </c>
      <c r="I39" s="58"/>
    </row>
    <row r="40" spans="1:9">
      <c r="A40" s="18"/>
      <c r="B40" s="48"/>
      <c r="F40" s="48"/>
      <c r="I40" s="58"/>
    </row>
    <row r="41" spans="1:9">
      <c r="A41" s="18"/>
      <c r="B41" s="48"/>
      <c r="F41" s="48"/>
      <c r="I41" s="58"/>
    </row>
    <row r="42" spans="1:9">
      <c r="A42" s="23" t="s">
        <v>72</v>
      </c>
      <c r="B42" s="91" t="s">
        <v>152</v>
      </c>
      <c r="E42" s="23" t="s">
        <v>51</v>
      </c>
      <c r="F42" s="91" t="s">
        <v>174</v>
      </c>
      <c r="I42" s="58"/>
    </row>
    <row r="43" spans="1:9">
      <c r="A43" s="23" t="s">
        <v>53</v>
      </c>
      <c r="B43" s="42" t="s">
        <v>54</v>
      </c>
      <c r="E43" s="23" t="s">
        <v>53</v>
      </c>
      <c r="F43" s="42" t="s">
        <v>54</v>
      </c>
      <c r="I43" s="58"/>
    </row>
    <row r="44" spans="1:9">
      <c r="A44" s="43" t="s">
        <v>39</v>
      </c>
      <c r="B44" s="92" t="s">
        <v>158</v>
      </c>
      <c r="E44" s="43" t="s">
        <v>40</v>
      </c>
      <c r="F44" s="92" t="s">
        <v>58</v>
      </c>
      <c r="I44" s="58"/>
    </row>
    <row r="45" spans="1:9">
      <c r="A45" s="44" t="s">
        <v>41</v>
      </c>
      <c r="B45" s="92" t="s">
        <v>159</v>
      </c>
      <c r="E45" s="44" t="s">
        <v>42</v>
      </c>
      <c r="F45" s="92" t="s">
        <v>194</v>
      </c>
      <c r="I45" s="58"/>
    </row>
    <row r="46" spans="1:9">
      <c r="A46" s="45" t="s">
        <v>43</v>
      </c>
      <c r="B46" s="92" t="s">
        <v>160</v>
      </c>
      <c r="E46" s="45" t="s">
        <v>43</v>
      </c>
      <c r="F46" s="92" t="s">
        <v>223</v>
      </c>
      <c r="I46" s="58"/>
    </row>
    <row r="47" spans="1:9">
      <c r="A47" s="46" t="s">
        <v>45</v>
      </c>
      <c r="B47" s="92" t="s">
        <v>161</v>
      </c>
      <c r="E47" s="46" t="s">
        <v>46</v>
      </c>
      <c r="F47" s="92" t="s">
        <v>224</v>
      </c>
      <c r="I47" s="58"/>
    </row>
    <row r="48" spans="1:9">
      <c r="A48" s="104" t="s">
        <v>47</v>
      </c>
      <c r="B48" s="92" t="s">
        <v>162</v>
      </c>
      <c r="E48" s="104" t="s">
        <v>48</v>
      </c>
      <c r="F48" s="92" t="s">
        <v>225</v>
      </c>
      <c r="I48" s="58"/>
    </row>
    <row r="49" spans="1:9" ht="15.75" thickBot="1">
      <c r="A49" s="49"/>
      <c r="B49" s="50"/>
      <c r="C49" s="50"/>
      <c r="D49" s="50"/>
      <c r="E49" s="50"/>
      <c r="F49" s="50"/>
      <c r="G49" s="50"/>
      <c r="H49" s="50"/>
      <c r="I49" s="64"/>
    </row>
    <row r="52" spans="1:9" ht="15.75" thickBot="1"/>
    <row r="53" spans="1:9" ht="15.75" thickBot="1">
      <c r="A53" s="137" t="s">
        <v>73</v>
      </c>
      <c r="B53" s="138"/>
      <c r="C53" s="139" t="s">
        <v>33</v>
      </c>
      <c r="D53" s="140"/>
      <c r="E53" s="140"/>
      <c r="F53" s="140"/>
      <c r="G53" s="141"/>
      <c r="H53" s="40"/>
      <c r="I53" s="57"/>
    </row>
    <row r="54" spans="1:9" ht="26.25" thickBot="1">
      <c r="A54" s="137" t="s">
        <v>74</v>
      </c>
      <c r="B54" s="138"/>
      <c r="C54" s="51" t="s">
        <v>40</v>
      </c>
      <c r="D54" s="51" t="s">
        <v>42</v>
      </c>
      <c r="E54" s="51" t="s">
        <v>44</v>
      </c>
      <c r="F54" s="51" t="s">
        <v>46</v>
      </c>
      <c r="G54" s="51" t="s">
        <v>75</v>
      </c>
      <c r="I54" s="58"/>
    </row>
    <row r="55" spans="1:9" ht="26.25" thickBot="1">
      <c r="A55" s="130" t="s">
        <v>32</v>
      </c>
      <c r="B55" s="51" t="s">
        <v>39</v>
      </c>
      <c r="C55" s="52" t="s">
        <v>76</v>
      </c>
      <c r="D55" s="53" t="s">
        <v>77</v>
      </c>
      <c r="E55" s="53" t="s">
        <v>77</v>
      </c>
      <c r="F55" s="54" t="s">
        <v>78</v>
      </c>
      <c r="G55" s="54" t="s">
        <v>78</v>
      </c>
      <c r="I55" s="58"/>
    </row>
    <row r="56" spans="1:9" ht="26.25" thickBot="1">
      <c r="A56" s="131"/>
      <c r="B56" s="51" t="s">
        <v>41</v>
      </c>
      <c r="C56" s="52" t="s">
        <v>76</v>
      </c>
      <c r="D56" s="53" t="s">
        <v>77</v>
      </c>
      <c r="E56" s="54" t="s">
        <v>78</v>
      </c>
      <c r="F56" s="55" t="s">
        <v>79</v>
      </c>
      <c r="G56" s="55" t="s">
        <v>79</v>
      </c>
      <c r="I56" s="58"/>
    </row>
    <row r="57" spans="1:9" ht="15.75" thickBot="1">
      <c r="A57" s="131"/>
      <c r="B57" s="51" t="s">
        <v>43</v>
      </c>
      <c r="C57" s="53" t="s">
        <v>77</v>
      </c>
      <c r="D57" s="53" t="s">
        <v>77</v>
      </c>
      <c r="E57" s="54" t="s">
        <v>78</v>
      </c>
      <c r="F57" s="55" t="s">
        <v>79</v>
      </c>
      <c r="G57" s="55" t="s">
        <v>79</v>
      </c>
      <c r="I57" s="58"/>
    </row>
    <row r="58" spans="1:9" ht="15.75" thickBot="1">
      <c r="A58" s="131"/>
      <c r="B58" s="51" t="s">
        <v>45</v>
      </c>
      <c r="C58" s="53" t="s">
        <v>77</v>
      </c>
      <c r="D58" s="54" t="s">
        <v>78</v>
      </c>
      <c r="E58" s="55" t="s">
        <v>79</v>
      </c>
      <c r="F58" s="55" t="s">
        <v>79</v>
      </c>
      <c r="G58" s="56" t="s">
        <v>80</v>
      </c>
      <c r="I58" s="58"/>
    </row>
    <row r="59" spans="1:9" ht="26.25" thickBot="1">
      <c r="A59" s="132"/>
      <c r="B59" s="51" t="s">
        <v>47</v>
      </c>
      <c r="C59" s="54" t="s">
        <v>78</v>
      </c>
      <c r="D59" s="54" t="s">
        <v>78</v>
      </c>
      <c r="E59" s="55" t="s">
        <v>79</v>
      </c>
      <c r="F59" s="56" t="s">
        <v>80</v>
      </c>
      <c r="G59" s="56" t="s">
        <v>80</v>
      </c>
      <c r="H59" s="50"/>
      <c r="I59" s="64"/>
    </row>
  </sheetData>
  <mergeCells count="7">
    <mergeCell ref="A55:A59"/>
    <mergeCell ref="A1:C1"/>
    <mergeCell ref="D1:F1"/>
    <mergeCell ref="G1:G2"/>
    <mergeCell ref="A53:B53"/>
    <mergeCell ref="C53:G53"/>
    <mergeCell ref="A54:B54"/>
  </mergeCells>
  <pageMargins left="0.511811024" right="0.511811024" top="0.78740157499999996" bottom="0.78740157499999996" header="0.31496062000000002" footer="0.31496062000000002"/>
  <pageSetup paperSize="9" scale="7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tabSelected="1" view="pageBreakPreview" zoomScale="80" zoomScaleNormal="85" zoomScaleSheetLayoutView="80" workbookViewId="0">
      <pane ySplit="2" topLeftCell="A18" activePane="bottomLeft" state="frozen"/>
      <selection pane="bottomLeft" activeCell="M14" sqref="M14"/>
    </sheetView>
  </sheetViews>
  <sheetFormatPr defaultColWidth="81.140625" defaultRowHeight="15.75"/>
  <cols>
    <col min="1" max="1" width="24.5703125" style="67" customWidth="1"/>
    <col min="2" max="2" width="3.5703125" style="68" customWidth="1"/>
    <col min="3" max="3" width="70.85546875" style="65" customWidth="1"/>
    <col min="4" max="4" width="3.5703125" style="69" hidden="1" customWidth="1"/>
    <col min="5" max="5" width="5.42578125" style="65" customWidth="1"/>
    <col min="6" max="6" width="4.28515625" style="65" customWidth="1"/>
    <col min="7" max="7" width="5.28515625" style="70" customWidth="1"/>
    <col min="8" max="8" width="4.140625" style="66" customWidth="1"/>
    <col min="9" max="9" width="5.5703125" style="66" customWidth="1"/>
    <col min="10" max="10" width="5.140625" style="66" customWidth="1"/>
    <col min="11" max="11" width="7.140625" style="71" customWidth="1"/>
    <col min="12" max="12" width="10.5703125" style="72" customWidth="1"/>
    <col min="13" max="15" width="81.140625" style="66"/>
    <col min="16" max="16384" width="81.140625" style="65"/>
  </cols>
  <sheetData>
    <row r="1" spans="1:12">
      <c r="A1" s="157" t="s">
        <v>0</v>
      </c>
      <c r="B1" s="157" t="s">
        <v>1</v>
      </c>
      <c r="C1" s="152" t="s">
        <v>2</v>
      </c>
      <c r="D1" s="152" t="s">
        <v>3</v>
      </c>
      <c r="E1" s="152" t="s">
        <v>4</v>
      </c>
      <c r="F1" s="152"/>
      <c r="G1" s="152"/>
      <c r="H1" s="152" t="s">
        <v>5</v>
      </c>
      <c r="I1" s="152"/>
      <c r="J1" s="152"/>
      <c r="K1" s="157" t="s">
        <v>6</v>
      </c>
      <c r="L1" s="67"/>
    </row>
    <row r="2" spans="1:12">
      <c r="A2" s="157"/>
      <c r="B2" s="157"/>
      <c r="C2" s="152"/>
      <c r="D2" s="152"/>
      <c r="E2" s="74" t="s">
        <v>5</v>
      </c>
      <c r="F2" s="74" t="s">
        <v>7</v>
      </c>
      <c r="G2" s="74" t="s">
        <v>8</v>
      </c>
      <c r="H2" s="74" t="s">
        <v>9</v>
      </c>
      <c r="I2" s="74" t="s">
        <v>10</v>
      </c>
      <c r="J2" s="74" t="s">
        <v>11</v>
      </c>
      <c r="K2" s="157"/>
      <c r="L2" s="157" t="s">
        <v>12</v>
      </c>
    </row>
    <row r="3" spans="1:12">
      <c r="A3" s="157"/>
      <c r="B3" s="157"/>
      <c r="C3" s="152"/>
      <c r="D3" s="152"/>
      <c r="E3" s="74" t="s">
        <v>13</v>
      </c>
      <c r="F3" s="74" t="s">
        <v>14</v>
      </c>
      <c r="G3" s="74" t="s">
        <v>15</v>
      </c>
      <c r="H3" s="74" t="s">
        <v>16</v>
      </c>
      <c r="I3" s="74" t="s">
        <v>17</v>
      </c>
      <c r="J3" s="74" t="s">
        <v>18</v>
      </c>
      <c r="K3" s="157"/>
      <c r="L3" s="157"/>
    </row>
    <row r="4" spans="1:12">
      <c r="A4" s="157"/>
      <c r="B4" s="157"/>
      <c r="C4" s="152"/>
      <c r="D4" s="152"/>
      <c r="E4" s="74">
        <v>0.33</v>
      </c>
      <c r="F4" s="74">
        <v>0.5</v>
      </c>
      <c r="G4" s="74">
        <v>0.25</v>
      </c>
      <c r="H4" s="74">
        <v>1</v>
      </c>
      <c r="I4" s="74">
        <v>0.33</v>
      </c>
      <c r="J4" s="74">
        <v>0.5</v>
      </c>
      <c r="K4" s="157"/>
      <c r="L4" s="157"/>
    </row>
    <row r="5" spans="1:12">
      <c r="A5" s="157"/>
      <c r="B5" s="157"/>
      <c r="C5" s="152"/>
      <c r="D5" s="152"/>
      <c r="E5" s="152">
        <f>E4+F4+G4</f>
        <v>1.08</v>
      </c>
      <c r="F5" s="152"/>
      <c r="G5" s="152"/>
      <c r="H5" s="152">
        <f>H4+I4+J4</f>
        <v>1.83</v>
      </c>
      <c r="I5" s="152"/>
      <c r="J5" s="152"/>
      <c r="K5" s="157"/>
      <c r="L5" s="157"/>
    </row>
    <row r="6" spans="1:12">
      <c r="A6" s="110" t="s">
        <v>166</v>
      </c>
      <c r="B6" s="86">
        <v>1</v>
      </c>
      <c r="C6" s="81" t="s">
        <v>106</v>
      </c>
      <c r="D6" s="87">
        <v>1</v>
      </c>
      <c r="E6" s="87">
        <v>1</v>
      </c>
      <c r="F6" s="87">
        <v>0</v>
      </c>
      <c r="G6" s="87">
        <v>0</v>
      </c>
      <c r="H6" s="86">
        <v>0</v>
      </c>
      <c r="I6" s="86">
        <v>0</v>
      </c>
      <c r="J6" s="86">
        <v>0</v>
      </c>
      <c r="K6" s="88">
        <f t="shared" ref="K6:K39" si="0">(E6*0.33)+(F6*0.5)+(G6*0.25)+(H6*1)+(I6*0.33)+(J6*0.5)</f>
        <v>0.33</v>
      </c>
      <c r="L6" s="110">
        <f>SUM(K6:K12)</f>
        <v>6.8100000000000005</v>
      </c>
    </row>
    <row r="7" spans="1:12">
      <c r="A7" s="110"/>
      <c r="B7" s="86">
        <v>2</v>
      </c>
      <c r="C7" s="81" t="s">
        <v>19</v>
      </c>
      <c r="D7" s="87">
        <v>1</v>
      </c>
      <c r="E7" s="87">
        <f t="shared" ref="E7:E24" si="1">D7</f>
        <v>1</v>
      </c>
      <c r="F7" s="87">
        <v>1</v>
      </c>
      <c r="G7" s="87">
        <v>0</v>
      </c>
      <c r="H7" s="86">
        <v>0</v>
      </c>
      <c r="I7" s="86">
        <v>0</v>
      </c>
      <c r="J7" s="86">
        <v>0</v>
      </c>
      <c r="K7" s="88">
        <f t="shared" si="0"/>
        <v>0.83000000000000007</v>
      </c>
      <c r="L7" s="110"/>
    </row>
    <row r="8" spans="1:12">
      <c r="A8" s="110"/>
      <c r="B8" s="86">
        <v>3</v>
      </c>
      <c r="C8" s="81" t="s">
        <v>107</v>
      </c>
      <c r="D8" s="87">
        <v>1</v>
      </c>
      <c r="E8" s="87">
        <f t="shared" si="1"/>
        <v>1</v>
      </c>
      <c r="F8" s="87">
        <v>1</v>
      </c>
      <c r="G8" s="87">
        <v>0</v>
      </c>
      <c r="H8" s="86">
        <v>0</v>
      </c>
      <c r="I8" s="86">
        <v>0</v>
      </c>
      <c r="J8" s="86">
        <v>0</v>
      </c>
      <c r="K8" s="88">
        <f t="shared" si="0"/>
        <v>0.83000000000000007</v>
      </c>
      <c r="L8" s="110"/>
    </row>
    <row r="9" spans="1:12">
      <c r="A9" s="110"/>
      <c r="B9" s="86">
        <v>4</v>
      </c>
      <c r="C9" s="81" t="s">
        <v>108</v>
      </c>
      <c r="D9" s="87">
        <v>1</v>
      </c>
      <c r="E9" s="87">
        <f t="shared" si="1"/>
        <v>1</v>
      </c>
      <c r="F9" s="87">
        <v>1</v>
      </c>
      <c r="G9" s="87">
        <v>0</v>
      </c>
      <c r="H9" s="86">
        <v>0</v>
      </c>
      <c r="I9" s="86">
        <v>0</v>
      </c>
      <c r="J9" s="86">
        <v>0</v>
      </c>
      <c r="K9" s="88">
        <f t="shared" si="0"/>
        <v>0.83000000000000007</v>
      </c>
      <c r="L9" s="110"/>
    </row>
    <row r="10" spans="1:12" s="66" customFormat="1" ht="31.5">
      <c r="A10" s="110"/>
      <c r="B10" s="86">
        <v>5</v>
      </c>
      <c r="C10" s="81" t="s">
        <v>83</v>
      </c>
      <c r="D10" s="87">
        <v>1</v>
      </c>
      <c r="E10" s="87">
        <f t="shared" si="1"/>
        <v>1</v>
      </c>
      <c r="F10" s="87">
        <f>D10</f>
        <v>1</v>
      </c>
      <c r="G10" s="87">
        <v>0</v>
      </c>
      <c r="H10" s="86">
        <v>1</v>
      </c>
      <c r="I10" s="86">
        <v>0</v>
      </c>
      <c r="J10" s="86">
        <v>1</v>
      </c>
      <c r="K10" s="88">
        <f t="shared" si="0"/>
        <v>2.33</v>
      </c>
      <c r="L10" s="110"/>
    </row>
    <row r="11" spans="1:12" s="66" customFormat="1">
      <c r="A11" s="110"/>
      <c r="B11" s="86">
        <v>6</v>
      </c>
      <c r="C11" s="81" t="s">
        <v>84</v>
      </c>
      <c r="D11" s="87"/>
      <c r="E11" s="87">
        <v>1</v>
      </c>
      <c r="F11" s="87">
        <v>1</v>
      </c>
      <c r="G11" s="87">
        <v>0</v>
      </c>
      <c r="H11" s="86">
        <v>0</v>
      </c>
      <c r="I11" s="86">
        <v>0</v>
      </c>
      <c r="J11" s="86">
        <v>0</v>
      </c>
      <c r="K11" s="88">
        <f t="shared" si="0"/>
        <v>0.83000000000000007</v>
      </c>
      <c r="L11" s="110"/>
    </row>
    <row r="12" spans="1:12" s="66" customFormat="1">
      <c r="A12" s="110"/>
      <c r="B12" s="86">
        <v>7</v>
      </c>
      <c r="C12" s="81" t="s">
        <v>85</v>
      </c>
      <c r="D12" s="87">
        <v>1</v>
      </c>
      <c r="E12" s="87">
        <v>1</v>
      </c>
      <c r="F12" s="87">
        <f>D12</f>
        <v>1</v>
      </c>
      <c r="G12" s="87">
        <v>0</v>
      </c>
      <c r="H12" s="86">
        <v>0</v>
      </c>
      <c r="I12" s="86">
        <v>0</v>
      </c>
      <c r="J12" s="86">
        <v>0</v>
      </c>
      <c r="K12" s="88">
        <f t="shared" si="0"/>
        <v>0.83000000000000007</v>
      </c>
      <c r="L12" s="110"/>
    </row>
    <row r="13" spans="1:12" s="66" customFormat="1">
      <c r="A13" s="110" t="s">
        <v>20</v>
      </c>
      <c r="B13" s="86">
        <v>8</v>
      </c>
      <c r="C13" s="81" t="s">
        <v>86</v>
      </c>
      <c r="D13" s="87">
        <v>1</v>
      </c>
      <c r="E13" s="87">
        <f>D13</f>
        <v>1</v>
      </c>
      <c r="F13" s="87">
        <v>1</v>
      </c>
      <c r="G13" s="87">
        <v>0</v>
      </c>
      <c r="H13" s="86">
        <v>0</v>
      </c>
      <c r="I13" s="86">
        <v>0</v>
      </c>
      <c r="J13" s="86">
        <f t="shared" ref="J13" si="2">D13</f>
        <v>1</v>
      </c>
      <c r="K13" s="88">
        <f t="shared" si="0"/>
        <v>1.33</v>
      </c>
      <c r="L13" s="110">
        <f>SUM(K13:K20)</f>
        <v>15.39</v>
      </c>
    </row>
    <row r="14" spans="1:12" s="66" customFormat="1">
      <c r="A14" s="110"/>
      <c r="B14" s="86">
        <v>9</v>
      </c>
      <c r="C14" s="81" t="s">
        <v>87</v>
      </c>
      <c r="D14" s="87">
        <v>1</v>
      </c>
      <c r="E14" s="87">
        <f>D14</f>
        <v>1</v>
      </c>
      <c r="F14" s="87">
        <v>1</v>
      </c>
      <c r="G14" s="87">
        <f>D14</f>
        <v>1</v>
      </c>
      <c r="H14" s="86">
        <v>1</v>
      </c>
      <c r="I14" s="86">
        <f>D14</f>
        <v>1</v>
      </c>
      <c r="J14" s="86">
        <v>1</v>
      </c>
      <c r="K14" s="88">
        <f t="shared" si="0"/>
        <v>2.91</v>
      </c>
      <c r="L14" s="110"/>
    </row>
    <row r="15" spans="1:12" s="66" customFormat="1">
      <c r="A15" s="110"/>
      <c r="B15" s="86">
        <v>10</v>
      </c>
      <c r="C15" s="81" t="s">
        <v>88</v>
      </c>
      <c r="D15" s="87">
        <v>1</v>
      </c>
      <c r="E15" s="87">
        <v>0</v>
      </c>
      <c r="F15" s="87">
        <f t="shared" ref="F15:F21" si="3">D15</f>
        <v>1</v>
      </c>
      <c r="G15" s="87">
        <v>0</v>
      </c>
      <c r="H15" s="86">
        <v>0</v>
      </c>
      <c r="I15" s="86">
        <v>0</v>
      </c>
      <c r="J15" s="86">
        <v>0</v>
      </c>
      <c r="K15" s="88">
        <f t="shared" si="0"/>
        <v>0.5</v>
      </c>
      <c r="L15" s="110"/>
    </row>
    <row r="16" spans="1:12" s="66" customFormat="1">
      <c r="A16" s="110"/>
      <c r="B16" s="86">
        <v>11</v>
      </c>
      <c r="C16" s="81" t="s">
        <v>89</v>
      </c>
      <c r="D16" s="87">
        <v>1</v>
      </c>
      <c r="E16" s="87">
        <v>0</v>
      </c>
      <c r="F16" s="87">
        <f t="shared" si="3"/>
        <v>1</v>
      </c>
      <c r="G16" s="87">
        <v>0</v>
      </c>
      <c r="H16" s="86">
        <v>0</v>
      </c>
      <c r="I16" s="86">
        <v>0</v>
      </c>
      <c r="J16" s="86">
        <v>0</v>
      </c>
      <c r="K16" s="88">
        <f t="shared" si="0"/>
        <v>0.5</v>
      </c>
      <c r="L16" s="110"/>
    </row>
    <row r="17" spans="1:12" s="66" customFormat="1" ht="31.5">
      <c r="A17" s="110"/>
      <c r="B17" s="86">
        <v>12</v>
      </c>
      <c r="C17" s="81" t="s">
        <v>90</v>
      </c>
      <c r="D17" s="87">
        <v>1</v>
      </c>
      <c r="E17" s="87">
        <v>1</v>
      </c>
      <c r="F17" s="87">
        <f t="shared" si="3"/>
        <v>1</v>
      </c>
      <c r="G17" s="87">
        <v>0</v>
      </c>
      <c r="H17" s="86">
        <v>1</v>
      </c>
      <c r="I17" s="86">
        <v>0</v>
      </c>
      <c r="J17" s="86">
        <v>1</v>
      </c>
      <c r="K17" s="88">
        <f t="shared" si="0"/>
        <v>2.33</v>
      </c>
      <c r="L17" s="110"/>
    </row>
    <row r="18" spans="1:12" s="66" customFormat="1">
      <c r="A18" s="110"/>
      <c r="B18" s="86">
        <v>13</v>
      </c>
      <c r="C18" s="81" t="s">
        <v>91</v>
      </c>
      <c r="D18" s="87"/>
      <c r="E18" s="87">
        <v>1</v>
      </c>
      <c r="F18" s="87">
        <v>1</v>
      </c>
      <c r="G18" s="87">
        <v>1</v>
      </c>
      <c r="H18" s="86">
        <v>1</v>
      </c>
      <c r="I18" s="86">
        <v>0</v>
      </c>
      <c r="J18" s="86">
        <v>1</v>
      </c>
      <c r="K18" s="88">
        <f t="shared" si="0"/>
        <v>2.58</v>
      </c>
      <c r="L18" s="110"/>
    </row>
    <row r="19" spans="1:12" s="66" customFormat="1">
      <c r="A19" s="110"/>
      <c r="B19" s="86">
        <v>14</v>
      </c>
      <c r="C19" s="82" t="s">
        <v>163</v>
      </c>
      <c r="D19" s="87">
        <v>1</v>
      </c>
      <c r="E19" s="87">
        <v>1</v>
      </c>
      <c r="F19" s="87">
        <f t="shared" si="3"/>
        <v>1</v>
      </c>
      <c r="G19" s="87">
        <v>0</v>
      </c>
      <c r="H19" s="87">
        <v>1</v>
      </c>
      <c r="I19" s="87">
        <v>0</v>
      </c>
      <c r="J19" s="87">
        <f>D19</f>
        <v>1</v>
      </c>
      <c r="K19" s="88">
        <f t="shared" si="0"/>
        <v>2.33</v>
      </c>
      <c r="L19" s="110"/>
    </row>
    <row r="20" spans="1:12" s="66" customFormat="1" ht="31.5">
      <c r="A20" s="110"/>
      <c r="B20" s="86">
        <v>15</v>
      </c>
      <c r="C20" s="81" t="s">
        <v>94</v>
      </c>
      <c r="D20" s="87"/>
      <c r="E20" s="87">
        <v>1</v>
      </c>
      <c r="F20" s="87">
        <v>1</v>
      </c>
      <c r="G20" s="87">
        <v>1</v>
      </c>
      <c r="H20" s="87">
        <v>1</v>
      </c>
      <c r="I20" s="87">
        <v>1</v>
      </c>
      <c r="J20" s="87">
        <v>1</v>
      </c>
      <c r="K20" s="88">
        <f t="shared" si="0"/>
        <v>2.91</v>
      </c>
      <c r="L20" s="110"/>
    </row>
    <row r="21" spans="1:12" s="66" customFormat="1">
      <c r="A21" s="111" t="s">
        <v>21</v>
      </c>
      <c r="B21" s="86">
        <v>16</v>
      </c>
      <c r="C21" s="81" t="s">
        <v>109</v>
      </c>
      <c r="D21" s="87">
        <v>1</v>
      </c>
      <c r="E21" s="87">
        <v>1</v>
      </c>
      <c r="F21" s="87">
        <f t="shared" si="3"/>
        <v>1</v>
      </c>
      <c r="G21" s="87">
        <f>D21</f>
        <v>1</v>
      </c>
      <c r="H21" s="86">
        <v>1</v>
      </c>
      <c r="I21" s="86">
        <v>1</v>
      </c>
      <c r="J21" s="86">
        <f>D21</f>
        <v>1</v>
      </c>
      <c r="K21" s="88">
        <f t="shared" si="0"/>
        <v>2.91</v>
      </c>
      <c r="L21" s="111">
        <f>SUM(K21:K24)</f>
        <v>10.15</v>
      </c>
    </row>
    <row r="22" spans="1:12" s="66" customFormat="1" ht="31.5">
      <c r="A22" s="112"/>
      <c r="B22" s="86">
        <v>18</v>
      </c>
      <c r="C22" s="81" t="s">
        <v>95</v>
      </c>
      <c r="D22" s="87">
        <v>1</v>
      </c>
      <c r="E22" s="87">
        <f t="shared" si="1"/>
        <v>1</v>
      </c>
      <c r="F22" s="87">
        <v>1</v>
      </c>
      <c r="G22" s="87">
        <v>0</v>
      </c>
      <c r="H22" s="86">
        <v>1</v>
      </c>
      <c r="I22" s="86">
        <v>0</v>
      </c>
      <c r="J22" s="86">
        <v>1</v>
      </c>
      <c r="K22" s="88">
        <f t="shared" si="0"/>
        <v>2.33</v>
      </c>
      <c r="L22" s="112"/>
    </row>
    <row r="23" spans="1:12" s="66" customFormat="1" ht="31.5">
      <c r="A23" s="112"/>
      <c r="B23" s="86">
        <v>19</v>
      </c>
      <c r="C23" s="83" t="s">
        <v>97</v>
      </c>
      <c r="D23" s="87">
        <v>1</v>
      </c>
      <c r="E23" s="87">
        <f t="shared" si="1"/>
        <v>1</v>
      </c>
      <c r="F23" s="87">
        <f t="shared" ref="F23:F38" si="4">D23</f>
        <v>1</v>
      </c>
      <c r="G23" s="87">
        <v>0</v>
      </c>
      <c r="H23" s="87">
        <f>D23</f>
        <v>1</v>
      </c>
      <c r="I23" s="87">
        <v>0</v>
      </c>
      <c r="J23" s="86">
        <v>1</v>
      </c>
      <c r="K23" s="88">
        <f t="shared" si="0"/>
        <v>2.33</v>
      </c>
      <c r="L23" s="112"/>
    </row>
    <row r="24" spans="1:12" s="66" customFormat="1">
      <c r="A24" s="112"/>
      <c r="B24" s="86">
        <v>20</v>
      </c>
      <c r="C24" s="82" t="s">
        <v>111</v>
      </c>
      <c r="D24" s="87">
        <v>1</v>
      </c>
      <c r="E24" s="87">
        <f t="shared" si="1"/>
        <v>1</v>
      </c>
      <c r="F24" s="87">
        <f t="shared" si="4"/>
        <v>1</v>
      </c>
      <c r="G24" s="87">
        <v>1</v>
      </c>
      <c r="H24" s="87">
        <f t="shared" ref="H24" si="5">D24</f>
        <v>1</v>
      </c>
      <c r="I24" s="87">
        <v>0</v>
      </c>
      <c r="J24" s="86">
        <v>1</v>
      </c>
      <c r="K24" s="88">
        <f t="shared" si="0"/>
        <v>2.58</v>
      </c>
      <c r="L24" s="112"/>
    </row>
    <row r="25" spans="1:12" s="66" customFormat="1">
      <c r="A25" s="110" t="s">
        <v>22</v>
      </c>
      <c r="B25" s="86">
        <v>21</v>
      </c>
      <c r="C25" s="81" t="s">
        <v>112</v>
      </c>
      <c r="D25" s="87">
        <v>1</v>
      </c>
      <c r="E25" s="87">
        <v>1</v>
      </c>
      <c r="F25" s="87">
        <f t="shared" si="4"/>
        <v>1</v>
      </c>
      <c r="G25" s="87">
        <v>0</v>
      </c>
      <c r="H25" s="86">
        <v>0</v>
      </c>
      <c r="I25" s="87">
        <v>1</v>
      </c>
      <c r="J25" s="86">
        <v>1</v>
      </c>
      <c r="K25" s="88">
        <f t="shared" si="0"/>
        <v>1.6600000000000001</v>
      </c>
      <c r="L25" s="110">
        <f>SUM(K25:K27)</f>
        <v>4.24</v>
      </c>
    </row>
    <row r="26" spans="1:12" s="66" customFormat="1">
      <c r="A26" s="110"/>
      <c r="B26" s="86">
        <v>22</v>
      </c>
      <c r="C26" s="81" t="s">
        <v>23</v>
      </c>
      <c r="D26" s="87"/>
      <c r="E26" s="87">
        <v>0</v>
      </c>
      <c r="F26" s="87">
        <v>1</v>
      </c>
      <c r="G26" s="87">
        <v>1</v>
      </c>
      <c r="H26" s="86">
        <v>0</v>
      </c>
      <c r="I26" s="87">
        <v>1</v>
      </c>
      <c r="J26" s="86">
        <v>1</v>
      </c>
      <c r="K26" s="88"/>
      <c r="L26" s="110"/>
    </row>
    <row r="27" spans="1:12" s="66" customFormat="1">
      <c r="A27" s="110"/>
      <c r="B27" s="86">
        <v>23</v>
      </c>
      <c r="C27" s="81" t="s">
        <v>113</v>
      </c>
      <c r="D27" s="87">
        <v>1</v>
      </c>
      <c r="E27" s="87">
        <v>1</v>
      </c>
      <c r="F27" s="87">
        <v>1</v>
      </c>
      <c r="G27" s="87">
        <v>1</v>
      </c>
      <c r="H27" s="86">
        <v>1</v>
      </c>
      <c r="I27" s="87">
        <v>0</v>
      </c>
      <c r="J27" s="86">
        <v>1</v>
      </c>
      <c r="K27" s="88">
        <f t="shared" si="0"/>
        <v>2.58</v>
      </c>
      <c r="L27" s="110"/>
    </row>
    <row r="28" spans="1:12" s="66" customFormat="1">
      <c r="A28" s="110" t="s">
        <v>24</v>
      </c>
      <c r="B28" s="86">
        <v>24</v>
      </c>
      <c r="C28" s="81" t="s">
        <v>114</v>
      </c>
      <c r="D28" s="87">
        <v>1</v>
      </c>
      <c r="E28" s="87">
        <v>1</v>
      </c>
      <c r="F28" s="87">
        <f>D28</f>
        <v>1</v>
      </c>
      <c r="G28" s="87">
        <v>0</v>
      </c>
      <c r="H28" s="86">
        <v>1</v>
      </c>
      <c r="I28" s="86">
        <v>0</v>
      </c>
      <c r="J28" s="86">
        <v>1</v>
      </c>
      <c r="K28" s="88">
        <f t="shared" si="0"/>
        <v>2.33</v>
      </c>
      <c r="L28" s="110">
        <f>SUM(K28:K30)</f>
        <v>6.99</v>
      </c>
    </row>
    <row r="29" spans="1:12" s="66" customFormat="1" ht="31.5">
      <c r="A29" s="110"/>
      <c r="B29" s="86">
        <v>25</v>
      </c>
      <c r="C29" s="81" t="s">
        <v>102</v>
      </c>
      <c r="D29" s="87">
        <v>1</v>
      </c>
      <c r="E29" s="87">
        <f t="shared" ref="E29:E30" si="6">D29</f>
        <v>1</v>
      </c>
      <c r="F29" s="87">
        <f t="shared" si="4"/>
        <v>1</v>
      </c>
      <c r="G29" s="87">
        <v>0</v>
      </c>
      <c r="H29" s="86">
        <v>1</v>
      </c>
      <c r="I29" s="86">
        <v>0</v>
      </c>
      <c r="J29" s="86">
        <f>D29</f>
        <v>1</v>
      </c>
      <c r="K29" s="88">
        <f t="shared" si="0"/>
        <v>2.33</v>
      </c>
      <c r="L29" s="110"/>
    </row>
    <row r="30" spans="1:12" s="66" customFormat="1" ht="31.5">
      <c r="A30" s="110"/>
      <c r="B30" s="86">
        <v>26</v>
      </c>
      <c r="C30" s="81" t="s">
        <v>25</v>
      </c>
      <c r="D30" s="87">
        <v>1</v>
      </c>
      <c r="E30" s="87">
        <f t="shared" si="6"/>
        <v>1</v>
      </c>
      <c r="F30" s="87">
        <f t="shared" si="4"/>
        <v>1</v>
      </c>
      <c r="G30" s="87">
        <v>0</v>
      </c>
      <c r="H30" s="86">
        <v>1</v>
      </c>
      <c r="I30" s="86">
        <v>0</v>
      </c>
      <c r="J30" s="86">
        <f>D30</f>
        <v>1</v>
      </c>
      <c r="K30" s="88">
        <f t="shared" si="0"/>
        <v>2.33</v>
      </c>
      <c r="L30" s="110"/>
    </row>
    <row r="31" spans="1:12" s="66" customFormat="1">
      <c r="A31" s="110" t="s">
        <v>26</v>
      </c>
      <c r="B31" s="86">
        <v>27</v>
      </c>
      <c r="C31" s="81" t="s">
        <v>115</v>
      </c>
      <c r="D31" s="87">
        <v>1</v>
      </c>
      <c r="E31" s="87">
        <v>1</v>
      </c>
      <c r="F31" s="87">
        <f t="shared" si="4"/>
        <v>1</v>
      </c>
      <c r="G31" s="87">
        <f>D31</f>
        <v>1</v>
      </c>
      <c r="H31" s="86">
        <v>1</v>
      </c>
      <c r="I31" s="86">
        <f>D31</f>
        <v>1</v>
      </c>
      <c r="J31" s="86">
        <f t="shared" ref="J31" si="7">D31</f>
        <v>1</v>
      </c>
      <c r="K31" s="88">
        <f t="shared" si="0"/>
        <v>2.91</v>
      </c>
      <c r="L31" s="110">
        <f>SUM(K31:K39)</f>
        <v>24.2</v>
      </c>
    </row>
    <row r="32" spans="1:12" s="66" customFormat="1">
      <c r="A32" s="110"/>
      <c r="B32" s="86">
        <v>28</v>
      </c>
      <c r="C32" s="81" t="s">
        <v>103</v>
      </c>
      <c r="D32" s="87"/>
      <c r="E32" s="87">
        <v>1</v>
      </c>
      <c r="F32" s="87">
        <v>1</v>
      </c>
      <c r="G32" s="87">
        <v>1</v>
      </c>
      <c r="H32" s="86">
        <v>1</v>
      </c>
      <c r="I32" s="86">
        <v>1</v>
      </c>
      <c r="J32" s="86">
        <v>1</v>
      </c>
      <c r="K32" s="88">
        <f t="shared" si="0"/>
        <v>2.91</v>
      </c>
      <c r="L32" s="110"/>
    </row>
    <row r="33" spans="1:12" s="66" customFormat="1">
      <c r="A33" s="110"/>
      <c r="B33" s="86">
        <v>29</v>
      </c>
      <c r="C33" s="81" t="s">
        <v>104</v>
      </c>
      <c r="D33" s="87"/>
      <c r="E33" s="87">
        <v>1</v>
      </c>
      <c r="F33" s="87">
        <v>1</v>
      </c>
      <c r="G33" s="87">
        <v>1</v>
      </c>
      <c r="H33" s="86">
        <v>1</v>
      </c>
      <c r="I33" s="86">
        <v>1</v>
      </c>
      <c r="J33" s="86">
        <v>1</v>
      </c>
      <c r="K33" s="88">
        <f t="shared" si="0"/>
        <v>2.91</v>
      </c>
      <c r="L33" s="110"/>
    </row>
    <row r="34" spans="1:12" s="66" customFormat="1">
      <c r="A34" s="110"/>
      <c r="B34" s="86">
        <v>30</v>
      </c>
      <c r="C34" s="81" t="s">
        <v>116</v>
      </c>
      <c r="D34" s="87"/>
      <c r="E34" s="87">
        <v>1</v>
      </c>
      <c r="F34" s="87">
        <v>1</v>
      </c>
      <c r="G34" s="87">
        <v>1</v>
      </c>
      <c r="H34" s="86">
        <v>1</v>
      </c>
      <c r="I34" s="86">
        <v>1</v>
      </c>
      <c r="J34" s="86">
        <v>1</v>
      </c>
      <c r="K34" s="88">
        <f t="shared" si="0"/>
        <v>2.91</v>
      </c>
      <c r="L34" s="110"/>
    </row>
    <row r="35" spans="1:12" s="66" customFormat="1">
      <c r="A35" s="110"/>
      <c r="B35" s="86">
        <v>31</v>
      </c>
      <c r="C35" s="81" t="s">
        <v>117</v>
      </c>
      <c r="D35" s="87"/>
      <c r="E35" s="87">
        <v>1</v>
      </c>
      <c r="F35" s="87">
        <v>0</v>
      </c>
      <c r="G35" s="87">
        <v>1</v>
      </c>
      <c r="H35" s="86">
        <v>1</v>
      </c>
      <c r="I35" s="86">
        <v>1</v>
      </c>
      <c r="J35" s="86">
        <v>1</v>
      </c>
      <c r="K35" s="88">
        <f t="shared" si="0"/>
        <v>2.41</v>
      </c>
      <c r="L35" s="110"/>
    </row>
    <row r="36" spans="1:12" s="66" customFormat="1">
      <c r="A36" s="110"/>
      <c r="B36" s="86">
        <v>32</v>
      </c>
      <c r="C36" s="81" t="s">
        <v>118</v>
      </c>
      <c r="D36" s="87"/>
      <c r="E36" s="87">
        <v>1</v>
      </c>
      <c r="F36" s="87">
        <v>1</v>
      </c>
      <c r="G36" s="87">
        <v>1</v>
      </c>
      <c r="H36" s="86">
        <v>1</v>
      </c>
      <c r="I36" s="86">
        <v>0</v>
      </c>
      <c r="J36" s="86">
        <v>1</v>
      </c>
      <c r="K36" s="88">
        <f t="shared" si="0"/>
        <v>2.58</v>
      </c>
      <c r="L36" s="110"/>
    </row>
    <row r="37" spans="1:12" s="66" customFormat="1" ht="31.5">
      <c r="A37" s="110"/>
      <c r="B37" s="86">
        <v>33</v>
      </c>
      <c r="C37" s="81" t="s">
        <v>119</v>
      </c>
      <c r="D37" s="87"/>
      <c r="E37" s="87">
        <v>1</v>
      </c>
      <c r="F37" s="87">
        <v>1</v>
      </c>
      <c r="G37" s="87">
        <v>0</v>
      </c>
      <c r="H37" s="86">
        <v>1</v>
      </c>
      <c r="I37" s="86">
        <v>0</v>
      </c>
      <c r="J37" s="86">
        <v>1</v>
      </c>
      <c r="K37" s="88">
        <f t="shared" si="0"/>
        <v>2.33</v>
      </c>
      <c r="L37" s="110"/>
    </row>
    <row r="38" spans="1:12" s="66" customFormat="1" ht="31.5">
      <c r="A38" s="110"/>
      <c r="B38" s="86">
        <v>34</v>
      </c>
      <c r="C38" s="81" t="s">
        <v>120</v>
      </c>
      <c r="D38" s="87">
        <v>1</v>
      </c>
      <c r="E38" s="87">
        <v>1</v>
      </c>
      <c r="F38" s="87">
        <f t="shared" si="4"/>
        <v>1</v>
      </c>
      <c r="G38" s="87">
        <v>0</v>
      </c>
      <c r="H38" s="86">
        <v>1</v>
      </c>
      <c r="I38" s="86">
        <v>0</v>
      </c>
      <c r="J38" s="86">
        <v>1</v>
      </c>
      <c r="K38" s="88">
        <f t="shared" si="0"/>
        <v>2.33</v>
      </c>
      <c r="L38" s="110"/>
    </row>
    <row r="39" spans="1:12" s="66" customFormat="1">
      <c r="A39" s="110"/>
      <c r="B39" s="86">
        <v>35</v>
      </c>
      <c r="C39" s="82" t="s">
        <v>105</v>
      </c>
      <c r="D39" s="87">
        <v>1</v>
      </c>
      <c r="E39" s="87">
        <v>1</v>
      </c>
      <c r="F39" s="87">
        <v>1</v>
      </c>
      <c r="G39" s="87">
        <f t="shared" ref="G39" si="8">D39</f>
        <v>1</v>
      </c>
      <c r="H39" s="86">
        <v>1</v>
      </c>
      <c r="I39" s="86">
        <f t="shared" ref="I39" si="9">D39</f>
        <v>1</v>
      </c>
      <c r="J39" s="86">
        <f>D39</f>
        <v>1</v>
      </c>
      <c r="K39" s="88">
        <f t="shared" si="0"/>
        <v>2.91</v>
      </c>
      <c r="L39" s="110"/>
    </row>
    <row r="40" spans="1:12" s="66" customFormat="1" ht="15.75" customHeight="1">
      <c r="A40" s="143" t="s">
        <v>27</v>
      </c>
      <c r="B40" s="146" t="s">
        <v>28</v>
      </c>
      <c r="C40" s="147"/>
      <c r="D40" s="148"/>
      <c r="E40" s="74">
        <f t="shared" ref="E40:J40" si="10">SUM(E6:E39)</f>
        <v>31</v>
      </c>
      <c r="F40" s="74">
        <f t="shared" si="10"/>
        <v>32</v>
      </c>
      <c r="G40" s="74">
        <f t="shared" si="10"/>
        <v>14</v>
      </c>
      <c r="H40" s="74">
        <f t="shared" si="10"/>
        <v>23</v>
      </c>
      <c r="I40" s="74">
        <f t="shared" si="10"/>
        <v>11</v>
      </c>
      <c r="J40" s="74">
        <f t="shared" si="10"/>
        <v>26</v>
      </c>
      <c r="K40" s="77">
        <f>SUM(E40:J40)</f>
        <v>137</v>
      </c>
      <c r="L40" s="149"/>
    </row>
    <row r="41" spans="1:12" s="66" customFormat="1" ht="15.75" customHeight="1">
      <c r="A41" s="144"/>
      <c r="B41" s="146" t="s">
        <v>29</v>
      </c>
      <c r="C41" s="147"/>
      <c r="D41" s="148"/>
      <c r="E41" s="152">
        <f>E40+F40+G40</f>
        <v>77</v>
      </c>
      <c r="F41" s="152"/>
      <c r="G41" s="152"/>
      <c r="H41" s="152">
        <f>H40+I40+J40</f>
        <v>60</v>
      </c>
      <c r="I41" s="152"/>
      <c r="J41" s="152"/>
      <c r="K41" s="77">
        <f>SUM(E41:J41)</f>
        <v>137</v>
      </c>
      <c r="L41" s="150"/>
    </row>
    <row r="42" spans="1:12" s="66" customFormat="1">
      <c r="A42" s="144"/>
      <c r="B42" s="153" t="s">
        <v>30</v>
      </c>
      <c r="C42" s="154"/>
      <c r="D42" s="155"/>
      <c r="E42" s="73">
        <f t="shared" ref="E42:J42" si="11">E40*E4</f>
        <v>10.23</v>
      </c>
      <c r="F42" s="73">
        <f t="shared" si="11"/>
        <v>16</v>
      </c>
      <c r="G42" s="73">
        <f t="shared" si="11"/>
        <v>3.5</v>
      </c>
      <c r="H42" s="73">
        <f t="shared" si="11"/>
        <v>23</v>
      </c>
      <c r="I42" s="73">
        <f t="shared" si="11"/>
        <v>3.6300000000000003</v>
      </c>
      <c r="J42" s="73">
        <f t="shared" si="11"/>
        <v>13</v>
      </c>
      <c r="K42" s="77">
        <f>SUM(E42:J42)</f>
        <v>69.360000000000014</v>
      </c>
      <c r="L42" s="150"/>
    </row>
    <row r="43" spans="1:12" s="66" customFormat="1">
      <c r="A43" s="145"/>
      <c r="B43" s="153" t="s">
        <v>31</v>
      </c>
      <c r="C43" s="154"/>
      <c r="D43" s="155"/>
      <c r="E43" s="156">
        <f>E42+F42+G42</f>
        <v>29.73</v>
      </c>
      <c r="F43" s="156"/>
      <c r="G43" s="156"/>
      <c r="H43" s="152">
        <f>H42+I42+J42</f>
        <v>39.629999999999995</v>
      </c>
      <c r="I43" s="152"/>
      <c r="J43" s="152"/>
      <c r="K43" s="77">
        <f>SUM(E43:J43)</f>
        <v>69.36</v>
      </c>
      <c r="L43" s="151"/>
    </row>
    <row r="44" spans="1:12" s="66" customFormat="1">
      <c r="A44" s="72"/>
      <c r="B44" s="75"/>
      <c r="D44" s="76"/>
      <c r="K44" s="71"/>
      <c r="L44" s="72"/>
    </row>
    <row r="45" spans="1:12" s="66" customFormat="1">
      <c r="A45" s="72"/>
      <c r="B45" s="75"/>
      <c r="D45" s="76"/>
      <c r="E45" s="142"/>
      <c r="F45" s="142"/>
      <c r="G45" s="142"/>
      <c r="H45" s="142"/>
      <c r="I45" s="142"/>
      <c r="J45" s="142"/>
      <c r="K45" s="71"/>
      <c r="L45" s="72"/>
    </row>
    <row r="46" spans="1:12" s="66" customFormat="1">
      <c r="A46" s="72"/>
      <c r="B46" s="75"/>
      <c r="D46" s="76"/>
      <c r="K46" s="71"/>
      <c r="L46" s="72"/>
    </row>
    <row r="47" spans="1:12" s="66" customFormat="1">
      <c r="A47" s="72"/>
      <c r="B47" s="75"/>
      <c r="D47" s="76"/>
      <c r="K47" s="71"/>
      <c r="L47" s="72"/>
    </row>
    <row r="48" spans="1:12" s="66" customFormat="1">
      <c r="A48" s="72"/>
      <c r="B48" s="75"/>
      <c r="D48" s="76"/>
      <c r="K48" s="71"/>
      <c r="L48" s="72"/>
    </row>
    <row r="49" spans="1:12" s="66" customFormat="1">
      <c r="A49" s="72"/>
      <c r="B49" s="75"/>
      <c r="D49" s="76"/>
      <c r="K49" s="71"/>
      <c r="L49" s="72"/>
    </row>
    <row r="50" spans="1:12" s="66" customFormat="1">
      <c r="A50" s="72"/>
      <c r="B50" s="75"/>
      <c r="D50" s="76"/>
      <c r="K50" s="71"/>
      <c r="L50" s="72"/>
    </row>
    <row r="51" spans="1:12" s="66" customFormat="1">
      <c r="A51" s="72"/>
      <c r="B51" s="75"/>
      <c r="D51" s="76"/>
      <c r="K51" s="71"/>
      <c r="L51" s="72"/>
    </row>
    <row r="52" spans="1:12" s="66" customFormat="1">
      <c r="A52" s="72"/>
      <c r="B52" s="75"/>
      <c r="D52" s="76"/>
      <c r="K52" s="71"/>
      <c r="L52" s="72"/>
    </row>
    <row r="53" spans="1:12" s="66" customFormat="1">
      <c r="A53" s="72"/>
      <c r="B53" s="75"/>
      <c r="D53" s="76"/>
      <c r="K53" s="71"/>
      <c r="L53" s="72"/>
    </row>
    <row r="54" spans="1:12" s="66" customFormat="1">
      <c r="A54" s="72"/>
      <c r="B54" s="75"/>
      <c r="D54" s="76"/>
      <c r="K54" s="71"/>
      <c r="L54" s="72"/>
    </row>
    <row r="55" spans="1:12" s="66" customFormat="1">
      <c r="A55" s="72"/>
      <c r="B55" s="75"/>
      <c r="D55" s="76"/>
      <c r="K55" s="71"/>
      <c r="L55" s="72"/>
    </row>
    <row r="56" spans="1:12" s="66" customFormat="1">
      <c r="A56" s="72"/>
      <c r="B56" s="75"/>
      <c r="D56" s="76"/>
      <c r="K56" s="71"/>
      <c r="L56" s="72"/>
    </row>
    <row r="57" spans="1:12" s="66" customFormat="1">
      <c r="A57" s="72"/>
      <c r="B57" s="75"/>
      <c r="D57" s="76"/>
      <c r="K57" s="71"/>
      <c r="L57" s="72"/>
    </row>
    <row r="58" spans="1:12" s="66" customFormat="1">
      <c r="A58" s="72"/>
      <c r="B58" s="75"/>
      <c r="D58" s="76"/>
      <c r="K58" s="71"/>
      <c r="L58" s="72"/>
    </row>
    <row r="59" spans="1:12" s="66" customFormat="1">
      <c r="A59" s="72"/>
      <c r="B59" s="75"/>
      <c r="D59" s="76"/>
      <c r="K59" s="71"/>
      <c r="L59" s="72"/>
    </row>
    <row r="60" spans="1:12" s="66" customFormat="1">
      <c r="A60" s="72"/>
      <c r="B60" s="75"/>
      <c r="D60" s="76"/>
      <c r="K60" s="71"/>
      <c r="L60" s="72"/>
    </row>
    <row r="61" spans="1:12" s="66" customFormat="1">
      <c r="A61" s="72"/>
      <c r="B61" s="75"/>
      <c r="D61" s="76"/>
      <c r="K61" s="71"/>
      <c r="L61" s="72"/>
    </row>
    <row r="62" spans="1:12" s="66" customFormat="1">
      <c r="A62" s="72"/>
      <c r="B62" s="75"/>
      <c r="D62" s="76"/>
      <c r="K62" s="71"/>
      <c r="L62" s="72"/>
    </row>
    <row r="63" spans="1:12" s="66" customFormat="1">
      <c r="A63" s="72"/>
      <c r="B63" s="75"/>
      <c r="D63" s="76"/>
      <c r="K63" s="71"/>
      <c r="L63" s="72"/>
    </row>
    <row r="64" spans="1:12" s="66" customFormat="1">
      <c r="A64" s="72"/>
      <c r="B64" s="75"/>
      <c r="D64" s="76"/>
      <c r="K64" s="71"/>
      <c r="L64" s="72"/>
    </row>
    <row r="65" spans="1:12" s="66" customFormat="1">
      <c r="A65" s="72"/>
      <c r="B65" s="75"/>
      <c r="D65" s="76"/>
      <c r="K65" s="71"/>
      <c r="L65" s="72"/>
    </row>
    <row r="66" spans="1:12" s="66" customFormat="1">
      <c r="A66" s="72"/>
      <c r="B66" s="75"/>
      <c r="D66" s="76"/>
      <c r="K66" s="71"/>
      <c r="L66" s="72"/>
    </row>
    <row r="67" spans="1:12" s="66" customFormat="1">
      <c r="A67" s="72"/>
      <c r="B67" s="75"/>
      <c r="D67" s="76"/>
      <c r="K67" s="71"/>
      <c r="L67" s="72"/>
    </row>
    <row r="68" spans="1:12" s="66" customFormat="1">
      <c r="A68" s="72"/>
      <c r="B68" s="75"/>
      <c r="D68" s="76"/>
      <c r="K68" s="71"/>
      <c r="L68" s="72"/>
    </row>
    <row r="69" spans="1:12" s="66" customFormat="1">
      <c r="A69" s="72"/>
      <c r="B69" s="75"/>
      <c r="D69" s="76"/>
      <c r="K69" s="71"/>
      <c r="L69" s="72"/>
    </row>
    <row r="70" spans="1:12" s="66" customFormat="1">
      <c r="A70" s="72"/>
      <c r="B70" s="75"/>
      <c r="D70" s="76"/>
      <c r="K70" s="71"/>
      <c r="L70" s="72"/>
    </row>
    <row r="71" spans="1:12" s="66" customFormat="1">
      <c r="A71" s="72"/>
      <c r="B71" s="75"/>
      <c r="D71" s="76"/>
      <c r="K71" s="71"/>
      <c r="L71" s="72"/>
    </row>
    <row r="72" spans="1:12" s="66" customFormat="1">
      <c r="A72" s="72"/>
      <c r="B72" s="75"/>
      <c r="D72" s="76"/>
      <c r="K72" s="71"/>
      <c r="L72" s="72"/>
    </row>
    <row r="73" spans="1:12" s="66" customFormat="1">
      <c r="A73" s="72"/>
      <c r="B73" s="75"/>
      <c r="D73" s="76"/>
      <c r="K73" s="71"/>
      <c r="L73" s="72"/>
    </row>
    <row r="74" spans="1:12" s="66" customFormat="1">
      <c r="A74" s="72"/>
      <c r="B74" s="75"/>
      <c r="D74" s="76"/>
      <c r="K74" s="71"/>
      <c r="L74" s="72"/>
    </row>
    <row r="75" spans="1:12" s="66" customFormat="1">
      <c r="A75" s="72"/>
      <c r="B75" s="75"/>
      <c r="D75" s="76"/>
      <c r="K75" s="71"/>
      <c r="L75" s="72"/>
    </row>
    <row r="76" spans="1:12" s="66" customFormat="1">
      <c r="A76" s="72"/>
      <c r="B76" s="75"/>
      <c r="D76" s="76"/>
      <c r="K76" s="71"/>
      <c r="L76" s="72"/>
    </row>
    <row r="77" spans="1:12" s="66" customFormat="1">
      <c r="A77" s="72"/>
      <c r="B77" s="75"/>
      <c r="D77" s="76"/>
      <c r="K77" s="71"/>
      <c r="L77" s="72"/>
    </row>
    <row r="78" spans="1:12" s="66" customFormat="1">
      <c r="A78" s="72"/>
      <c r="B78" s="75"/>
      <c r="D78" s="76"/>
      <c r="K78" s="71"/>
      <c r="L78" s="72"/>
    </row>
    <row r="79" spans="1:12" s="66" customFormat="1">
      <c r="A79" s="72"/>
      <c r="B79" s="75"/>
      <c r="D79" s="76"/>
      <c r="K79" s="71"/>
      <c r="L79" s="72"/>
    </row>
    <row r="80" spans="1:12" s="66" customFormat="1">
      <c r="A80" s="72"/>
      <c r="B80" s="75"/>
      <c r="D80" s="76"/>
      <c r="K80" s="71"/>
      <c r="L80" s="72"/>
    </row>
    <row r="81" spans="1:12" s="66" customFormat="1">
      <c r="A81" s="72"/>
      <c r="B81" s="75"/>
      <c r="D81" s="76"/>
      <c r="K81" s="71"/>
      <c r="L81" s="72"/>
    </row>
    <row r="82" spans="1:12" s="66" customFormat="1">
      <c r="A82" s="72"/>
      <c r="B82" s="75"/>
      <c r="D82" s="76"/>
      <c r="K82" s="71"/>
      <c r="L82" s="72"/>
    </row>
    <row r="83" spans="1:12" s="66" customFormat="1">
      <c r="A83" s="72"/>
      <c r="B83" s="75"/>
      <c r="D83" s="76"/>
      <c r="K83" s="71"/>
      <c r="L83" s="72"/>
    </row>
    <row r="84" spans="1:12" s="66" customFormat="1">
      <c r="A84" s="72"/>
      <c r="B84" s="75"/>
      <c r="D84" s="76"/>
      <c r="K84" s="71"/>
      <c r="L84" s="72"/>
    </row>
    <row r="85" spans="1:12" s="66" customFormat="1">
      <c r="A85" s="72"/>
      <c r="B85" s="75"/>
      <c r="D85" s="76"/>
      <c r="K85" s="71"/>
      <c r="L85" s="72"/>
    </row>
    <row r="86" spans="1:12" s="66" customFormat="1">
      <c r="A86" s="72"/>
      <c r="B86" s="75"/>
      <c r="D86" s="76"/>
      <c r="K86" s="71"/>
      <c r="L86" s="72"/>
    </row>
    <row r="87" spans="1:12" s="66" customFormat="1">
      <c r="A87" s="72"/>
      <c r="B87" s="75"/>
      <c r="D87" s="76"/>
      <c r="K87" s="71"/>
      <c r="L87" s="72"/>
    </row>
    <row r="88" spans="1:12" s="66" customFormat="1">
      <c r="A88" s="72"/>
      <c r="B88" s="75"/>
      <c r="D88" s="76"/>
      <c r="K88" s="71"/>
      <c r="L88" s="72"/>
    </row>
    <row r="89" spans="1:12" s="66" customFormat="1">
      <c r="A89" s="72"/>
      <c r="B89" s="75"/>
      <c r="D89" s="76"/>
      <c r="K89" s="71"/>
      <c r="L89" s="72"/>
    </row>
    <row r="90" spans="1:12" s="66" customFormat="1">
      <c r="A90" s="72"/>
      <c r="B90" s="75"/>
      <c r="D90" s="76"/>
      <c r="K90" s="71"/>
      <c r="L90" s="72"/>
    </row>
    <row r="91" spans="1:12" s="66" customFormat="1">
      <c r="A91" s="72"/>
      <c r="B91" s="75"/>
      <c r="D91" s="76"/>
      <c r="K91" s="71"/>
      <c r="L91" s="72"/>
    </row>
    <row r="92" spans="1:12" s="66" customFormat="1">
      <c r="A92" s="72"/>
      <c r="B92" s="75"/>
      <c r="D92" s="76"/>
      <c r="K92" s="71"/>
      <c r="L92" s="72"/>
    </row>
    <row r="93" spans="1:12" s="66" customFormat="1">
      <c r="A93" s="72"/>
      <c r="B93" s="75"/>
      <c r="D93" s="76"/>
      <c r="K93" s="71"/>
      <c r="L93" s="72"/>
    </row>
    <row r="94" spans="1:12" s="66" customFormat="1">
      <c r="A94" s="72"/>
      <c r="B94" s="75"/>
      <c r="D94" s="76"/>
      <c r="K94" s="71"/>
      <c r="L94" s="72"/>
    </row>
    <row r="95" spans="1:12" s="66" customFormat="1">
      <c r="A95" s="72"/>
      <c r="B95" s="75"/>
      <c r="D95" s="76"/>
      <c r="K95" s="71"/>
      <c r="L95" s="72"/>
    </row>
    <row r="96" spans="1:12" s="66" customFormat="1">
      <c r="A96" s="72"/>
      <c r="B96" s="75"/>
      <c r="D96" s="76"/>
      <c r="K96" s="71"/>
      <c r="L96" s="72"/>
    </row>
    <row r="97" spans="1:12" s="66" customFormat="1">
      <c r="A97" s="72"/>
      <c r="B97" s="75"/>
      <c r="D97" s="76"/>
      <c r="K97" s="71"/>
      <c r="L97" s="72"/>
    </row>
    <row r="98" spans="1:12" s="66" customFormat="1">
      <c r="A98" s="72"/>
      <c r="B98" s="75"/>
      <c r="D98" s="76"/>
      <c r="K98" s="71"/>
      <c r="L98" s="72"/>
    </row>
    <row r="99" spans="1:12" s="66" customFormat="1">
      <c r="A99" s="72"/>
      <c r="B99" s="75"/>
      <c r="D99" s="76"/>
      <c r="K99" s="71"/>
      <c r="L99" s="72"/>
    </row>
    <row r="100" spans="1:12" s="66" customFormat="1">
      <c r="A100" s="72"/>
      <c r="B100" s="75"/>
      <c r="D100" s="76"/>
      <c r="K100" s="71"/>
      <c r="L100" s="72"/>
    </row>
    <row r="101" spans="1:12" s="66" customFormat="1">
      <c r="A101" s="72"/>
      <c r="B101" s="75"/>
      <c r="D101" s="76"/>
      <c r="K101" s="71"/>
      <c r="L101" s="72"/>
    </row>
    <row r="102" spans="1:12" s="66" customFormat="1">
      <c r="A102" s="72"/>
      <c r="B102" s="75"/>
      <c r="D102" s="76"/>
      <c r="K102" s="71"/>
      <c r="L102" s="72"/>
    </row>
    <row r="103" spans="1:12" s="66" customFormat="1">
      <c r="A103" s="72"/>
      <c r="B103" s="75"/>
      <c r="D103" s="76"/>
      <c r="K103" s="71"/>
      <c r="L103" s="72"/>
    </row>
    <row r="104" spans="1:12" s="66" customFormat="1">
      <c r="A104" s="72"/>
      <c r="B104" s="75"/>
      <c r="D104" s="76"/>
      <c r="K104" s="71"/>
      <c r="L104" s="72"/>
    </row>
    <row r="105" spans="1:12" s="66" customFormat="1">
      <c r="A105" s="72"/>
      <c r="B105" s="75"/>
      <c r="D105" s="76"/>
      <c r="K105" s="71"/>
      <c r="L105" s="72"/>
    </row>
    <row r="106" spans="1:12" s="66" customFormat="1">
      <c r="A106" s="72"/>
      <c r="B106" s="75"/>
      <c r="D106" s="76"/>
      <c r="K106" s="71"/>
      <c r="L106" s="72"/>
    </row>
    <row r="107" spans="1:12" s="66" customFormat="1">
      <c r="A107" s="72"/>
      <c r="B107" s="75"/>
      <c r="D107" s="76"/>
      <c r="K107" s="71"/>
      <c r="L107" s="72"/>
    </row>
    <row r="108" spans="1:12" s="66" customFormat="1">
      <c r="A108" s="72"/>
      <c r="B108" s="75"/>
      <c r="D108" s="76"/>
      <c r="K108" s="71"/>
      <c r="L108" s="72"/>
    </row>
    <row r="109" spans="1:12" s="66" customFormat="1">
      <c r="A109" s="72"/>
      <c r="B109" s="75"/>
      <c r="D109" s="76"/>
      <c r="K109" s="71"/>
      <c r="L109" s="72"/>
    </row>
    <row r="110" spans="1:12" s="66" customFormat="1">
      <c r="A110" s="72"/>
      <c r="B110" s="75"/>
      <c r="D110" s="76"/>
      <c r="K110" s="71"/>
      <c r="L110" s="72"/>
    </row>
    <row r="111" spans="1:12" s="66" customFormat="1">
      <c r="A111" s="72"/>
      <c r="B111" s="75"/>
      <c r="D111" s="76"/>
      <c r="K111" s="71"/>
      <c r="L111" s="72"/>
    </row>
    <row r="112" spans="1:12" s="66" customFormat="1">
      <c r="A112" s="72"/>
      <c r="B112" s="75"/>
      <c r="D112" s="76"/>
      <c r="K112" s="71"/>
      <c r="L112" s="72"/>
    </row>
    <row r="113" spans="1:12" s="66" customFormat="1">
      <c r="A113" s="72"/>
      <c r="B113" s="75"/>
      <c r="D113" s="76"/>
      <c r="K113" s="71"/>
      <c r="L113" s="72"/>
    </row>
    <row r="114" spans="1:12" s="66" customFormat="1">
      <c r="A114" s="72"/>
      <c r="B114" s="75"/>
      <c r="D114" s="76"/>
      <c r="K114" s="71"/>
      <c r="L114" s="72"/>
    </row>
    <row r="115" spans="1:12" s="66" customFormat="1">
      <c r="A115" s="72"/>
      <c r="B115" s="75"/>
      <c r="D115" s="76"/>
      <c r="K115" s="71"/>
      <c r="L115" s="72"/>
    </row>
    <row r="116" spans="1:12" s="66" customFormat="1">
      <c r="A116" s="72"/>
      <c r="B116" s="75"/>
      <c r="D116" s="76"/>
      <c r="K116" s="71"/>
      <c r="L116" s="72"/>
    </row>
    <row r="117" spans="1:12" s="66" customFormat="1">
      <c r="A117" s="72"/>
      <c r="B117" s="75"/>
      <c r="D117" s="76"/>
      <c r="K117" s="71"/>
      <c r="L117" s="72"/>
    </row>
    <row r="118" spans="1:12" s="66" customFormat="1">
      <c r="A118" s="72"/>
      <c r="B118" s="75"/>
      <c r="D118" s="76"/>
      <c r="K118" s="71"/>
      <c r="L118" s="72"/>
    </row>
    <row r="119" spans="1:12" s="66" customFormat="1">
      <c r="A119" s="72"/>
      <c r="B119" s="75"/>
      <c r="D119" s="76"/>
      <c r="K119" s="71"/>
      <c r="L119" s="72"/>
    </row>
    <row r="120" spans="1:12" s="66" customFormat="1">
      <c r="A120" s="72"/>
      <c r="B120" s="75"/>
      <c r="D120" s="76"/>
      <c r="K120" s="71"/>
      <c r="L120" s="72"/>
    </row>
    <row r="121" spans="1:12" s="66" customFormat="1">
      <c r="A121" s="72"/>
      <c r="B121" s="75"/>
      <c r="D121" s="76"/>
      <c r="K121" s="71"/>
      <c r="L121" s="72"/>
    </row>
    <row r="122" spans="1:12" s="66" customFormat="1">
      <c r="A122" s="72"/>
      <c r="B122" s="75"/>
      <c r="D122" s="76"/>
      <c r="K122" s="71"/>
      <c r="L122" s="72"/>
    </row>
    <row r="123" spans="1:12" s="66" customFormat="1">
      <c r="A123" s="72"/>
      <c r="B123" s="75"/>
      <c r="D123" s="76"/>
      <c r="K123" s="71"/>
      <c r="L123" s="72"/>
    </row>
    <row r="124" spans="1:12" s="66" customFormat="1">
      <c r="A124" s="72"/>
      <c r="B124" s="75"/>
      <c r="D124" s="76"/>
      <c r="K124" s="71"/>
      <c r="L124" s="72"/>
    </row>
    <row r="125" spans="1:12" s="66" customFormat="1">
      <c r="A125" s="72"/>
      <c r="B125" s="75"/>
      <c r="D125" s="76"/>
      <c r="K125" s="71"/>
      <c r="L125" s="72"/>
    </row>
    <row r="126" spans="1:12" s="66" customFormat="1">
      <c r="A126" s="72"/>
      <c r="B126" s="75"/>
      <c r="D126" s="76"/>
      <c r="K126" s="71"/>
      <c r="L126" s="72"/>
    </row>
    <row r="127" spans="1:12" s="66" customFormat="1">
      <c r="A127" s="72"/>
      <c r="B127" s="75"/>
      <c r="D127" s="76"/>
      <c r="K127" s="71"/>
      <c r="L127" s="72"/>
    </row>
    <row r="128" spans="1:12" s="66" customFormat="1">
      <c r="A128" s="72"/>
      <c r="B128" s="75"/>
      <c r="D128" s="76"/>
      <c r="K128" s="71"/>
      <c r="L128" s="72"/>
    </row>
    <row r="129" spans="1:12" s="66" customFormat="1">
      <c r="A129" s="72"/>
      <c r="B129" s="75"/>
      <c r="D129" s="76"/>
      <c r="K129" s="71"/>
      <c r="L129" s="72"/>
    </row>
    <row r="130" spans="1:12" s="66" customFormat="1">
      <c r="A130" s="72"/>
      <c r="B130" s="75"/>
      <c r="D130" s="76"/>
      <c r="K130" s="71"/>
      <c r="L130" s="72"/>
    </row>
    <row r="131" spans="1:12" s="66" customFormat="1">
      <c r="A131" s="72"/>
      <c r="B131" s="75"/>
      <c r="D131" s="76"/>
      <c r="K131" s="71"/>
      <c r="L131" s="72"/>
    </row>
    <row r="132" spans="1:12" s="66" customFormat="1">
      <c r="A132" s="72"/>
      <c r="B132" s="75"/>
      <c r="D132" s="76"/>
      <c r="K132" s="71"/>
      <c r="L132" s="72"/>
    </row>
    <row r="133" spans="1:12" s="66" customFormat="1">
      <c r="A133" s="72"/>
      <c r="B133" s="75"/>
      <c r="D133" s="76"/>
      <c r="K133" s="71"/>
      <c r="L133" s="72"/>
    </row>
    <row r="134" spans="1:12" s="66" customFormat="1">
      <c r="A134" s="72"/>
      <c r="B134" s="75"/>
      <c r="D134" s="76"/>
      <c r="K134" s="71"/>
      <c r="L134" s="72"/>
    </row>
    <row r="135" spans="1:12" s="66" customFormat="1">
      <c r="A135" s="72"/>
      <c r="B135" s="75"/>
      <c r="D135" s="76"/>
      <c r="K135" s="71"/>
      <c r="L135" s="72"/>
    </row>
    <row r="136" spans="1:12" s="66" customFormat="1">
      <c r="A136" s="72"/>
      <c r="B136" s="75"/>
      <c r="D136" s="76"/>
      <c r="K136" s="71"/>
      <c r="L136" s="72"/>
    </row>
    <row r="137" spans="1:12" s="66" customFormat="1">
      <c r="A137" s="72"/>
      <c r="B137" s="75"/>
      <c r="D137" s="76"/>
      <c r="K137" s="71"/>
      <c r="L137" s="72"/>
    </row>
    <row r="138" spans="1:12" s="66" customFormat="1">
      <c r="A138" s="72"/>
      <c r="B138" s="75"/>
      <c r="D138" s="76"/>
      <c r="K138" s="71"/>
      <c r="L138" s="72"/>
    </row>
    <row r="139" spans="1:12" s="66" customFormat="1">
      <c r="A139" s="72"/>
      <c r="B139" s="75"/>
      <c r="D139" s="76"/>
      <c r="K139" s="71"/>
      <c r="L139" s="72"/>
    </row>
    <row r="140" spans="1:12" s="66" customFormat="1">
      <c r="A140" s="72"/>
      <c r="B140" s="75"/>
      <c r="D140" s="76"/>
      <c r="K140" s="71"/>
      <c r="L140" s="72"/>
    </row>
    <row r="141" spans="1:12" s="66" customFormat="1">
      <c r="A141" s="72"/>
      <c r="B141" s="75"/>
      <c r="D141" s="76"/>
      <c r="K141" s="71"/>
      <c r="L141" s="72"/>
    </row>
    <row r="142" spans="1:12" s="66" customFormat="1">
      <c r="A142" s="72"/>
      <c r="B142" s="75"/>
      <c r="D142" s="76"/>
      <c r="K142" s="71"/>
      <c r="L142" s="72"/>
    </row>
    <row r="143" spans="1:12" s="66" customFormat="1">
      <c r="A143" s="72"/>
      <c r="B143" s="75"/>
      <c r="D143" s="76"/>
      <c r="K143" s="71"/>
      <c r="L143" s="72"/>
    </row>
    <row r="144" spans="1:12" s="66" customFormat="1">
      <c r="A144" s="72"/>
      <c r="B144" s="75"/>
      <c r="D144" s="76"/>
      <c r="K144" s="71"/>
      <c r="L144" s="72"/>
    </row>
    <row r="145" spans="1:12" s="66" customFormat="1">
      <c r="A145" s="72"/>
      <c r="B145" s="75"/>
      <c r="D145" s="76"/>
      <c r="K145" s="71"/>
      <c r="L145" s="72"/>
    </row>
    <row r="146" spans="1:12" s="66" customFormat="1">
      <c r="A146" s="72"/>
      <c r="B146" s="75"/>
      <c r="D146" s="76"/>
      <c r="K146" s="71"/>
      <c r="L146" s="72"/>
    </row>
    <row r="147" spans="1:12" s="66" customFormat="1">
      <c r="A147" s="72"/>
      <c r="B147" s="75"/>
      <c r="D147" s="76"/>
      <c r="K147" s="71"/>
      <c r="L147" s="72"/>
    </row>
    <row r="148" spans="1:12" s="66" customFormat="1">
      <c r="A148" s="72"/>
      <c r="B148" s="75"/>
      <c r="D148" s="76"/>
      <c r="K148" s="71"/>
      <c r="L148" s="72"/>
    </row>
    <row r="149" spans="1:12" s="66" customFormat="1">
      <c r="A149" s="72"/>
      <c r="B149" s="75"/>
      <c r="D149" s="76"/>
      <c r="K149" s="71"/>
      <c r="L149" s="72"/>
    </row>
    <row r="150" spans="1:12" s="66" customFormat="1">
      <c r="A150" s="72"/>
      <c r="B150" s="75"/>
      <c r="D150" s="76"/>
      <c r="K150" s="71"/>
      <c r="L150" s="72"/>
    </row>
    <row r="151" spans="1:12" s="66" customFormat="1">
      <c r="A151" s="72"/>
      <c r="B151" s="75"/>
      <c r="D151" s="76"/>
      <c r="K151" s="71"/>
      <c r="L151" s="72"/>
    </row>
    <row r="152" spans="1:12" s="66" customFormat="1">
      <c r="A152" s="72"/>
      <c r="B152" s="75"/>
      <c r="D152" s="76"/>
      <c r="K152" s="71"/>
      <c r="L152" s="72"/>
    </row>
    <row r="153" spans="1:12" s="66" customFormat="1">
      <c r="A153" s="72"/>
      <c r="B153" s="75"/>
      <c r="D153" s="76"/>
      <c r="K153" s="71"/>
      <c r="L153" s="72"/>
    </row>
    <row r="154" spans="1:12" s="66" customFormat="1">
      <c r="A154" s="72"/>
      <c r="B154" s="75"/>
      <c r="D154" s="76"/>
      <c r="K154" s="71"/>
      <c r="L154" s="72"/>
    </row>
    <row r="155" spans="1:12" s="66" customFormat="1">
      <c r="A155" s="72"/>
      <c r="B155" s="75"/>
      <c r="D155" s="76"/>
      <c r="K155" s="71"/>
      <c r="L155" s="72"/>
    </row>
    <row r="156" spans="1:12" s="66" customFormat="1">
      <c r="A156" s="72"/>
      <c r="B156" s="75"/>
      <c r="D156" s="76"/>
      <c r="K156" s="71"/>
      <c r="L156" s="72"/>
    </row>
    <row r="157" spans="1:12" s="66" customFormat="1">
      <c r="A157" s="72"/>
      <c r="B157" s="75"/>
      <c r="D157" s="76"/>
      <c r="K157" s="71"/>
      <c r="L157" s="72"/>
    </row>
    <row r="158" spans="1:12" s="66" customFormat="1">
      <c r="A158" s="72"/>
      <c r="B158" s="75"/>
      <c r="D158" s="76"/>
      <c r="K158" s="71"/>
      <c r="L158" s="72"/>
    </row>
    <row r="159" spans="1:12" s="66" customFormat="1">
      <c r="A159" s="72"/>
      <c r="B159" s="75"/>
      <c r="D159" s="76"/>
      <c r="K159" s="71"/>
      <c r="L159" s="72"/>
    </row>
    <row r="160" spans="1:12" s="66" customFormat="1">
      <c r="A160" s="72"/>
      <c r="B160" s="75"/>
      <c r="D160" s="76"/>
      <c r="K160" s="71"/>
      <c r="L160" s="72"/>
    </row>
    <row r="161" spans="1:12" s="66" customFormat="1">
      <c r="A161" s="72"/>
      <c r="B161" s="75"/>
      <c r="D161" s="76"/>
      <c r="K161" s="71"/>
      <c r="L161" s="72"/>
    </row>
    <row r="162" spans="1:12" s="66" customFormat="1">
      <c r="A162" s="72"/>
      <c r="B162" s="75"/>
      <c r="D162" s="76"/>
      <c r="K162" s="71"/>
      <c r="L162" s="72"/>
    </row>
    <row r="163" spans="1:12" s="66" customFormat="1">
      <c r="A163" s="72"/>
      <c r="B163" s="75"/>
      <c r="D163" s="76"/>
      <c r="K163" s="71"/>
      <c r="L163" s="72"/>
    </row>
    <row r="164" spans="1:12" s="66" customFormat="1">
      <c r="A164" s="72"/>
      <c r="B164" s="75"/>
      <c r="D164" s="76"/>
      <c r="K164" s="71"/>
      <c r="L164" s="72"/>
    </row>
    <row r="165" spans="1:12" s="66" customFormat="1">
      <c r="A165" s="72"/>
      <c r="B165" s="75"/>
      <c r="D165" s="76"/>
      <c r="K165" s="71"/>
      <c r="L165" s="72"/>
    </row>
    <row r="166" spans="1:12" s="66" customFormat="1">
      <c r="A166" s="72"/>
      <c r="B166" s="75"/>
      <c r="D166" s="76"/>
      <c r="K166" s="71"/>
      <c r="L166" s="72"/>
    </row>
    <row r="167" spans="1:12" s="66" customFormat="1">
      <c r="A167" s="72"/>
      <c r="B167" s="75"/>
      <c r="D167" s="76"/>
      <c r="K167" s="71"/>
      <c r="L167" s="72"/>
    </row>
    <row r="168" spans="1:12" s="66" customFormat="1">
      <c r="A168" s="72"/>
      <c r="B168" s="75"/>
      <c r="D168" s="76"/>
      <c r="K168" s="71"/>
      <c r="L168" s="72"/>
    </row>
    <row r="169" spans="1:12" s="66" customFormat="1">
      <c r="A169" s="72"/>
      <c r="B169" s="75"/>
      <c r="D169" s="76"/>
      <c r="K169" s="71"/>
      <c r="L169" s="72"/>
    </row>
    <row r="170" spans="1:12" s="66" customFormat="1">
      <c r="A170" s="72"/>
      <c r="B170" s="75"/>
      <c r="D170" s="76"/>
      <c r="K170" s="71"/>
      <c r="L170" s="72"/>
    </row>
    <row r="171" spans="1:12" s="66" customFormat="1">
      <c r="A171" s="72"/>
      <c r="B171" s="75"/>
      <c r="D171" s="76"/>
      <c r="K171" s="71"/>
      <c r="L171" s="72"/>
    </row>
    <row r="172" spans="1:12" s="66" customFormat="1">
      <c r="A172" s="72"/>
      <c r="B172" s="75"/>
      <c r="D172" s="76"/>
      <c r="K172" s="71"/>
      <c r="L172" s="72"/>
    </row>
    <row r="173" spans="1:12" s="66" customFormat="1">
      <c r="A173" s="72"/>
      <c r="B173" s="75"/>
      <c r="D173" s="76"/>
      <c r="K173" s="71"/>
      <c r="L173" s="72"/>
    </row>
    <row r="174" spans="1:12" s="66" customFormat="1">
      <c r="A174" s="72"/>
      <c r="B174" s="75"/>
      <c r="D174" s="76"/>
      <c r="K174" s="71"/>
      <c r="L174" s="72"/>
    </row>
    <row r="175" spans="1:12" s="66" customFormat="1">
      <c r="A175" s="72"/>
      <c r="B175" s="75"/>
      <c r="D175" s="76"/>
      <c r="K175" s="71"/>
      <c r="L175" s="72"/>
    </row>
    <row r="176" spans="1:12" s="66" customFormat="1">
      <c r="A176" s="72"/>
      <c r="B176" s="75"/>
      <c r="D176" s="76"/>
      <c r="K176" s="71"/>
      <c r="L176" s="72"/>
    </row>
    <row r="177" spans="1:12" s="66" customFormat="1">
      <c r="A177" s="72"/>
      <c r="B177" s="75"/>
      <c r="D177" s="76"/>
      <c r="K177" s="71"/>
      <c r="L177" s="72"/>
    </row>
    <row r="178" spans="1:12" s="66" customFormat="1">
      <c r="A178" s="72"/>
      <c r="B178" s="75"/>
      <c r="D178" s="76"/>
      <c r="K178" s="71"/>
      <c r="L178" s="72"/>
    </row>
    <row r="179" spans="1:12" s="66" customFormat="1">
      <c r="A179" s="72"/>
      <c r="B179" s="75"/>
      <c r="D179" s="76"/>
      <c r="K179" s="71"/>
      <c r="L179" s="72"/>
    </row>
    <row r="180" spans="1:12" s="66" customFormat="1">
      <c r="A180" s="72"/>
      <c r="B180" s="75"/>
      <c r="D180" s="76"/>
      <c r="K180" s="71"/>
      <c r="L180" s="72"/>
    </row>
    <row r="181" spans="1:12" s="66" customFormat="1">
      <c r="A181" s="72"/>
      <c r="B181" s="75"/>
      <c r="D181" s="76"/>
      <c r="K181" s="71"/>
      <c r="L181" s="72"/>
    </row>
    <row r="182" spans="1:12" s="66" customFormat="1">
      <c r="A182" s="72"/>
      <c r="B182" s="75"/>
      <c r="D182" s="76"/>
      <c r="K182" s="71"/>
      <c r="L182" s="72"/>
    </row>
    <row r="183" spans="1:12" s="66" customFormat="1">
      <c r="A183" s="72"/>
      <c r="B183" s="75"/>
      <c r="D183" s="76"/>
      <c r="K183" s="71"/>
      <c r="L183" s="72"/>
    </row>
    <row r="184" spans="1:12" s="66" customFormat="1">
      <c r="A184" s="72"/>
      <c r="B184" s="75"/>
      <c r="D184" s="76"/>
      <c r="K184" s="71"/>
      <c r="L184" s="72"/>
    </row>
    <row r="185" spans="1:12" s="66" customFormat="1">
      <c r="A185" s="72"/>
      <c r="B185" s="75"/>
      <c r="D185" s="76"/>
      <c r="K185" s="71"/>
      <c r="L185" s="72"/>
    </row>
    <row r="186" spans="1:12" s="66" customFormat="1">
      <c r="A186" s="72"/>
      <c r="B186" s="75"/>
      <c r="D186" s="76"/>
      <c r="K186" s="71"/>
      <c r="L186" s="72"/>
    </row>
    <row r="187" spans="1:12" s="66" customFormat="1">
      <c r="A187" s="72"/>
      <c r="B187" s="75"/>
      <c r="D187" s="76"/>
      <c r="K187" s="71"/>
      <c r="L187" s="72"/>
    </row>
    <row r="188" spans="1:12" s="66" customFormat="1">
      <c r="A188" s="72"/>
      <c r="B188" s="75"/>
      <c r="D188" s="76"/>
      <c r="K188" s="71"/>
      <c r="L188" s="72"/>
    </row>
    <row r="189" spans="1:12" s="66" customFormat="1">
      <c r="A189" s="72"/>
      <c r="B189" s="75"/>
      <c r="D189" s="76"/>
      <c r="K189" s="71"/>
      <c r="L189" s="72"/>
    </row>
    <row r="190" spans="1:12" s="66" customFormat="1">
      <c r="A190" s="72"/>
      <c r="B190" s="75"/>
      <c r="D190" s="76"/>
      <c r="K190" s="71"/>
      <c r="L190" s="72"/>
    </row>
    <row r="191" spans="1:12" s="66" customFormat="1">
      <c r="A191" s="72"/>
      <c r="B191" s="75"/>
      <c r="D191" s="76"/>
      <c r="K191" s="71"/>
      <c r="L191" s="72"/>
    </row>
    <row r="192" spans="1:12" s="66" customFormat="1">
      <c r="A192" s="72"/>
      <c r="B192" s="75"/>
      <c r="D192" s="76"/>
      <c r="K192" s="71"/>
      <c r="L192" s="72"/>
    </row>
    <row r="193" spans="1:12" s="66" customFormat="1">
      <c r="A193" s="72"/>
      <c r="B193" s="75"/>
      <c r="D193" s="76"/>
      <c r="K193" s="71"/>
      <c r="L193" s="72"/>
    </row>
    <row r="194" spans="1:12" s="66" customFormat="1">
      <c r="A194" s="72"/>
      <c r="B194" s="75"/>
      <c r="D194" s="76"/>
      <c r="K194" s="71"/>
      <c r="L194" s="72"/>
    </row>
    <row r="195" spans="1:12" s="66" customFormat="1">
      <c r="A195" s="72"/>
      <c r="B195" s="75"/>
      <c r="D195" s="76"/>
      <c r="K195" s="71"/>
      <c r="L195" s="72"/>
    </row>
    <row r="196" spans="1:12" s="66" customFormat="1">
      <c r="A196" s="72"/>
      <c r="B196" s="75"/>
      <c r="D196" s="76"/>
      <c r="K196" s="71"/>
      <c r="L196" s="72"/>
    </row>
    <row r="197" spans="1:12" s="66" customFormat="1">
      <c r="A197" s="72"/>
      <c r="B197" s="75"/>
      <c r="D197" s="76"/>
      <c r="K197" s="71"/>
      <c r="L197" s="72"/>
    </row>
    <row r="198" spans="1:12" s="66" customFormat="1">
      <c r="A198" s="72"/>
      <c r="B198" s="75"/>
      <c r="D198" s="76"/>
      <c r="K198" s="71"/>
      <c r="L198" s="72"/>
    </row>
    <row r="199" spans="1:12" s="66" customFormat="1">
      <c r="A199" s="72"/>
      <c r="B199" s="75"/>
      <c r="D199" s="76"/>
      <c r="K199" s="71"/>
      <c r="L199" s="72"/>
    </row>
    <row r="200" spans="1:12" s="66" customFormat="1">
      <c r="A200" s="72"/>
      <c r="B200" s="75"/>
      <c r="D200" s="76"/>
      <c r="K200" s="71"/>
      <c r="L200" s="72"/>
    </row>
    <row r="201" spans="1:12" s="66" customFormat="1">
      <c r="A201" s="72"/>
      <c r="B201" s="75"/>
      <c r="D201" s="76"/>
      <c r="K201" s="71"/>
      <c r="L201" s="72"/>
    </row>
    <row r="202" spans="1:12" s="66" customFormat="1">
      <c r="A202" s="72"/>
      <c r="B202" s="75"/>
      <c r="D202" s="76"/>
      <c r="K202" s="71"/>
      <c r="L202" s="72"/>
    </row>
    <row r="203" spans="1:12" s="66" customFormat="1">
      <c r="A203" s="72"/>
      <c r="B203" s="75"/>
      <c r="D203" s="76"/>
      <c r="K203" s="71"/>
      <c r="L203" s="72"/>
    </row>
    <row r="204" spans="1:12" s="66" customFormat="1">
      <c r="A204" s="72"/>
      <c r="B204" s="75"/>
      <c r="D204" s="76"/>
      <c r="K204" s="71"/>
      <c r="L204" s="72"/>
    </row>
    <row r="205" spans="1:12" s="66" customFormat="1">
      <c r="A205" s="72"/>
      <c r="B205" s="75"/>
      <c r="D205" s="76"/>
      <c r="K205" s="71"/>
      <c r="L205" s="72"/>
    </row>
    <row r="206" spans="1:12" s="66" customFormat="1">
      <c r="A206" s="72"/>
      <c r="B206" s="75"/>
      <c r="D206" s="76"/>
      <c r="K206" s="71"/>
      <c r="L206" s="72"/>
    </row>
    <row r="207" spans="1:12" s="66" customFormat="1">
      <c r="A207" s="72"/>
      <c r="B207" s="75"/>
      <c r="D207" s="76"/>
      <c r="K207" s="71"/>
      <c r="L207" s="72"/>
    </row>
    <row r="208" spans="1:12" s="66" customFormat="1">
      <c r="A208" s="72"/>
      <c r="B208" s="75"/>
      <c r="D208" s="76"/>
      <c r="K208" s="71"/>
      <c r="L208" s="72"/>
    </row>
    <row r="209" spans="1:12" s="66" customFormat="1">
      <c r="A209" s="72"/>
      <c r="B209" s="75"/>
      <c r="D209" s="76"/>
      <c r="K209" s="71"/>
      <c r="L209" s="72"/>
    </row>
    <row r="210" spans="1:12" s="66" customFormat="1">
      <c r="A210" s="72"/>
      <c r="B210" s="75"/>
      <c r="D210" s="76"/>
      <c r="K210" s="71"/>
      <c r="L210" s="72"/>
    </row>
    <row r="211" spans="1:12" s="66" customFormat="1">
      <c r="A211" s="72"/>
      <c r="B211" s="75"/>
      <c r="D211" s="76"/>
      <c r="K211" s="71"/>
      <c r="L211" s="72"/>
    </row>
    <row r="212" spans="1:12" s="66" customFormat="1">
      <c r="A212" s="72"/>
      <c r="B212" s="75"/>
      <c r="D212" s="76"/>
      <c r="K212" s="71"/>
      <c r="L212" s="72"/>
    </row>
    <row r="213" spans="1:12" s="66" customFormat="1">
      <c r="A213" s="72"/>
      <c r="B213" s="75"/>
      <c r="D213" s="76"/>
      <c r="K213" s="71"/>
      <c r="L213" s="72"/>
    </row>
    <row r="214" spans="1:12" s="66" customFormat="1">
      <c r="A214" s="72"/>
      <c r="B214" s="75"/>
      <c r="D214" s="76"/>
      <c r="K214" s="71"/>
      <c r="L214" s="72"/>
    </row>
    <row r="215" spans="1:12" s="66" customFormat="1">
      <c r="A215" s="72"/>
      <c r="B215" s="75"/>
      <c r="D215" s="76"/>
      <c r="K215" s="71"/>
      <c r="L215" s="72"/>
    </row>
    <row r="216" spans="1:12" s="66" customFormat="1">
      <c r="A216" s="72"/>
      <c r="B216" s="75"/>
      <c r="D216" s="76"/>
      <c r="K216" s="71"/>
      <c r="L216" s="72"/>
    </row>
    <row r="217" spans="1:12" s="66" customFormat="1">
      <c r="A217" s="72"/>
      <c r="B217" s="75"/>
      <c r="D217" s="76"/>
      <c r="K217" s="71"/>
      <c r="L217" s="72"/>
    </row>
    <row r="218" spans="1:12" s="66" customFormat="1">
      <c r="A218" s="72"/>
      <c r="B218" s="75"/>
      <c r="D218" s="76"/>
      <c r="K218" s="71"/>
      <c r="L218" s="72"/>
    </row>
    <row r="219" spans="1:12" s="66" customFormat="1">
      <c r="A219" s="72"/>
      <c r="B219" s="75"/>
      <c r="D219" s="76"/>
      <c r="K219" s="71"/>
      <c r="L219" s="72"/>
    </row>
    <row r="220" spans="1:12" s="66" customFormat="1">
      <c r="A220" s="72"/>
      <c r="B220" s="75"/>
      <c r="D220" s="76"/>
      <c r="K220" s="71"/>
      <c r="L220" s="72"/>
    </row>
    <row r="221" spans="1:12" s="66" customFormat="1">
      <c r="A221" s="72"/>
      <c r="B221" s="75"/>
      <c r="D221" s="76"/>
      <c r="K221" s="71"/>
      <c r="L221" s="72"/>
    </row>
    <row r="222" spans="1:12" s="66" customFormat="1">
      <c r="A222" s="72"/>
      <c r="B222" s="75"/>
      <c r="D222" s="76"/>
      <c r="K222" s="71"/>
      <c r="L222" s="72"/>
    </row>
    <row r="223" spans="1:12" s="66" customFormat="1">
      <c r="A223" s="72"/>
      <c r="B223" s="75"/>
      <c r="D223" s="76"/>
      <c r="K223" s="71"/>
      <c r="L223" s="72"/>
    </row>
    <row r="224" spans="1:12" s="66" customFormat="1">
      <c r="A224" s="72"/>
      <c r="B224" s="75"/>
      <c r="D224" s="76"/>
      <c r="K224" s="71"/>
      <c r="L224" s="72"/>
    </row>
    <row r="225" spans="1:12" s="66" customFormat="1">
      <c r="A225" s="72"/>
      <c r="B225" s="75"/>
      <c r="D225" s="76"/>
      <c r="K225" s="71"/>
      <c r="L225" s="72"/>
    </row>
    <row r="226" spans="1:12" s="66" customFormat="1">
      <c r="A226" s="72"/>
      <c r="B226" s="75"/>
      <c r="D226" s="76"/>
      <c r="K226" s="71"/>
      <c r="L226" s="72"/>
    </row>
    <row r="227" spans="1:12" s="66" customFormat="1">
      <c r="A227" s="72"/>
      <c r="B227" s="75"/>
      <c r="D227" s="76"/>
      <c r="K227" s="71"/>
      <c r="L227" s="72"/>
    </row>
    <row r="228" spans="1:12" s="66" customFormat="1">
      <c r="A228" s="72"/>
      <c r="B228" s="75"/>
      <c r="D228" s="76"/>
      <c r="K228" s="71"/>
      <c r="L228" s="72"/>
    </row>
    <row r="229" spans="1:12" s="66" customFormat="1">
      <c r="A229" s="72"/>
      <c r="B229" s="75"/>
      <c r="D229" s="76"/>
      <c r="K229" s="71"/>
      <c r="L229" s="72"/>
    </row>
    <row r="230" spans="1:12" s="66" customFormat="1">
      <c r="A230" s="72"/>
      <c r="B230" s="75"/>
      <c r="D230" s="76"/>
      <c r="K230" s="71"/>
      <c r="L230" s="72"/>
    </row>
    <row r="231" spans="1:12" s="66" customFormat="1">
      <c r="A231" s="72"/>
      <c r="B231" s="75"/>
      <c r="D231" s="76"/>
      <c r="K231" s="71"/>
      <c r="L231" s="72"/>
    </row>
    <row r="232" spans="1:12" s="66" customFormat="1">
      <c r="A232" s="72"/>
      <c r="B232" s="75"/>
      <c r="D232" s="76"/>
      <c r="K232" s="71"/>
      <c r="L232" s="72"/>
    </row>
    <row r="233" spans="1:12" s="66" customFormat="1">
      <c r="A233" s="72"/>
      <c r="B233" s="75"/>
      <c r="D233" s="76"/>
      <c r="K233" s="71"/>
      <c r="L233" s="72"/>
    </row>
    <row r="234" spans="1:12" s="66" customFormat="1">
      <c r="A234" s="72"/>
      <c r="B234" s="75"/>
      <c r="D234" s="76"/>
      <c r="K234" s="71"/>
      <c r="L234" s="72"/>
    </row>
    <row r="235" spans="1:12" s="66" customFormat="1">
      <c r="A235" s="72"/>
      <c r="B235" s="75"/>
      <c r="D235" s="76"/>
      <c r="K235" s="71"/>
      <c r="L235" s="72"/>
    </row>
    <row r="236" spans="1:12" s="66" customFormat="1">
      <c r="A236" s="72"/>
      <c r="B236" s="75"/>
      <c r="D236" s="76"/>
      <c r="K236" s="71"/>
      <c r="L236" s="72"/>
    </row>
    <row r="237" spans="1:12" s="66" customFormat="1">
      <c r="A237" s="72"/>
      <c r="B237" s="75"/>
      <c r="D237" s="76"/>
      <c r="K237" s="71"/>
      <c r="L237" s="72"/>
    </row>
    <row r="238" spans="1:12" s="66" customFormat="1">
      <c r="A238" s="72"/>
      <c r="B238" s="75"/>
      <c r="D238" s="76"/>
      <c r="K238" s="71"/>
      <c r="L238" s="72"/>
    </row>
    <row r="239" spans="1:12" s="66" customFormat="1">
      <c r="A239" s="72"/>
      <c r="B239" s="75"/>
      <c r="D239" s="76"/>
      <c r="K239" s="71"/>
      <c r="L239" s="72"/>
    </row>
    <row r="240" spans="1:12" s="66" customFormat="1">
      <c r="A240" s="72"/>
      <c r="B240" s="75"/>
      <c r="D240" s="76"/>
      <c r="K240" s="71"/>
      <c r="L240" s="72"/>
    </row>
    <row r="241" spans="1:12" s="66" customFormat="1">
      <c r="A241" s="72"/>
      <c r="B241" s="75"/>
      <c r="D241" s="76"/>
      <c r="K241" s="71"/>
      <c r="L241" s="72"/>
    </row>
    <row r="242" spans="1:12" s="66" customFormat="1">
      <c r="A242" s="72"/>
      <c r="B242" s="75"/>
      <c r="D242" s="76"/>
      <c r="K242" s="71"/>
      <c r="L242" s="72"/>
    </row>
    <row r="243" spans="1:12" s="66" customFormat="1">
      <c r="A243" s="72"/>
      <c r="B243" s="75"/>
      <c r="D243" s="76"/>
      <c r="K243" s="71"/>
      <c r="L243" s="72"/>
    </row>
    <row r="244" spans="1:12" s="66" customFormat="1">
      <c r="A244" s="72"/>
      <c r="B244" s="75"/>
      <c r="D244" s="76"/>
      <c r="K244" s="71"/>
      <c r="L244" s="72"/>
    </row>
    <row r="245" spans="1:12" s="66" customFormat="1">
      <c r="A245" s="72"/>
      <c r="B245" s="75"/>
      <c r="D245" s="76"/>
      <c r="K245" s="71"/>
      <c r="L245" s="72"/>
    </row>
    <row r="246" spans="1:12" s="66" customFormat="1">
      <c r="A246" s="72"/>
      <c r="B246" s="75"/>
      <c r="D246" s="76"/>
      <c r="K246" s="71"/>
      <c r="L246" s="72"/>
    </row>
    <row r="247" spans="1:12" s="66" customFormat="1">
      <c r="A247" s="72"/>
      <c r="B247" s="75"/>
      <c r="D247" s="76"/>
      <c r="K247" s="71"/>
      <c r="L247" s="72"/>
    </row>
    <row r="248" spans="1:12" s="66" customFormat="1">
      <c r="A248" s="72"/>
      <c r="B248" s="75"/>
      <c r="D248" s="76"/>
      <c r="K248" s="71"/>
      <c r="L248" s="72"/>
    </row>
    <row r="249" spans="1:12" s="66" customFormat="1">
      <c r="A249" s="72"/>
      <c r="B249" s="75"/>
      <c r="D249" s="76"/>
      <c r="K249" s="71"/>
      <c r="L249" s="72"/>
    </row>
    <row r="250" spans="1:12" s="66" customFormat="1">
      <c r="A250" s="72"/>
      <c r="B250" s="75"/>
      <c r="D250" s="76"/>
      <c r="K250" s="71"/>
      <c r="L250" s="72"/>
    </row>
    <row r="251" spans="1:12" s="66" customFormat="1">
      <c r="A251" s="72"/>
      <c r="B251" s="75"/>
      <c r="D251" s="76"/>
      <c r="K251" s="71"/>
      <c r="L251" s="72"/>
    </row>
    <row r="252" spans="1:12" s="66" customFormat="1">
      <c r="A252" s="72"/>
      <c r="B252" s="75"/>
      <c r="D252" s="76"/>
      <c r="K252" s="71"/>
      <c r="L252" s="72"/>
    </row>
    <row r="253" spans="1:12" s="66" customFormat="1">
      <c r="A253" s="72"/>
      <c r="B253" s="75"/>
      <c r="D253" s="76"/>
      <c r="K253" s="71"/>
      <c r="L253" s="72"/>
    </row>
    <row r="254" spans="1:12" s="66" customFormat="1">
      <c r="A254" s="72"/>
      <c r="B254" s="75"/>
      <c r="D254" s="76"/>
      <c r="K254" s="71"/>
      <c r="L254" s="72"/>
    </row>
    <row r="255" spans="1:12" s="66" customFormat="1">
      <c r="A255" s="72"/>
      <c r="B255" s="75"/>
      <c r="D255" s="76"/>
      <c r="K255" s="71"/>
      <c r="L255" s="72"/>
    </row>
    <row r="256" spans="1:12" s="66" customFormat="1">
      <c r="A256" s="72"/>
      <c r="B256" s="75"/>
      <c r="D256" s="76"/>
      <c r="K256" s="71"/>
      <c r="L256" s="72"/>
    </row>
    <row r="257" spans="1:12" s="66" customFormat="1">
      <c r="A257" s="72"/>
      <c r="B257" s="75"/>
      <c r="D257" s="76"/>
      <c r="K257" s="71"/>
      <c r="L257" s="72"/>
    </row>
    <row r="258" spans="1:12" s="66" customFormat="1">
      <c r="A258" s="72"/>
      <c r="B258" s="75"/>
      <c r="D258" s="76"/>
      <c r="K258" s="71"/>
      <c r="L258" s="72"/>
    </row>
    <row r="259" spans="1:12" s="66" customFormat="1">
      <c r="A259" s="72"/>
      <c r="B259" s="75"/>
      <c r="D259" s="76"/>
      <c r="K259" s="71"/>
      <c r="L259" s="72"/>
    </row>
    <row r="260" spans="1:12" s="66" customFormat="1">
      <c r="A260" s="72"/>
      <c r="B260" s="75"/>
      <c r="D260" s="76"/>
      <c r="K260" s="71"/>
      <c r="L260" s="72"/>
    </row>
    <row r="261" spans="1:12" s="66" customFormat="1">
      <c r="A261" s="72"/>
      <c r="B261" s="75"/>
      <c r="D261" s="76"/>
      <c r="K261" s="71"/>
      <c r="L261" s="72"/>
    </row>
    <row r="262" spans="1:12" s="66" customFormat="1">
      <c r="A262" s="72"/>
      <c r="B262" s="75"/>
      <c r="D262" s="76"/>
      <c r="K262" s="71"/>
      <c r="L262" s="72"/>
    </row>
    <row r="263" spans="1:12" s="66" customFormat="1">
      <c r="A263" s="72"/>
      <c r="B263" s="75"/>
      <c r="D263" s="76"/>
      <c r="K263" s="71"/>
      <c r="L263" s="72"/>
    </row>
    <row r="264" spans="1:12" s="66" customFormat="1">
      <c r="A264" s="72"/>
      <c r="B264" s="75"/>
      <c r="D264" s="76"/>
      <c r="K264" s="71"/>
      <c r="L264" s="72"/>
    </row>
    <row r="265" spans="1:12" s="66" customFormat="1">
      <c r="A265" s="72"/>
      <c r="B265" s="75"/>
      <c r="D265" s="76"/>
      <c r="K265" s="71"/>
      <c r="L265" s="72"/>
    </row>
    <row r="266" spans="1:12" s="66" customFormat="1">
      <c r="A266" s="72"/>
      <c r="B266" s="75"/>
      <c r="D266" s="76"/>
      <c r="K266" s="71"/>
      <c r="L266" s="72"/>
    </row>
    <row r="267" spans="1:12" s="66" customFormat="1">
      <c r="A267" s="72"/>
      <c r="B267" s="75"/>
      <c r="D267" s="76"/>
      <c r="K267" s="71"/>
      <c r="L267" s="72"/>
    </row>
    <row r="268" spans="1:12" s="66" customFormat="1">
      <c r="A268" s="72"/>
      <c r="B268" s="75"/>
      <c r="D268" s="76"/>
      <c r="K268" s="71"/>
      <c r="L268" s="72"/>
    </row>
    <row r="269" spans="1:12" s="66" customFormat="1">
      <c r="A269" s="72"/>
      <c r="B269" s="75"/>
      <c r="D269" s="76"/>
      <c r="K269" s="71"/>
      <c r="L269" s="72"/>
    </row>
    <row r="270" spans="1:12" s="66" customFormat="1">
      <c r="A270" s="72"/>
      <c r="B270" s="75"/>
      <c r="D270" s="76"/>
      <c r="K270" s="71"/>
      <c r="L270" s="72"/>
    </row>
    <row r="271" spans="1:12" s="66" customFormat="1">
      <c r="A271" s="72"/>
      <c r="B271" s="75"/>
      <c r="D271" s="76"/>
      <c r="K271" s="71"/>
      <c r="L271" s="72"/>
    </row>
    <row r="272" spans="1:12" s="66" customFormat="1">
      <c r="A272" s="72"/>
      <c r="B272" s="75"/>
      <c r="D272" s="76"/>
      <c r="K272" s="71"/>
      <c r="L272" s="72"/>
    </row>
    <row r="273" spans="1:12" s="66" customFormat="1">
      <c r="A273" s="72"/>
      <c r="B273" s="75"/>
      <c r="D273" s="76"/>
      <c r="K273" s="71"/>
      <c r="L273" s="72"/>
    </row>
    <row r="274" spans="1:12" s="66" customFormat="1">
      <c r="A274" s="72"/>
      <c r="B274" s="75"/>
      <c r="D274" s="76"/>
      <c r="K274" s="71"/>
      <c r="L274" s="72"/>
    </row>
    <row r="275" spans="1:12" s="66" customFormat="1">
      <c r="A275" s="72"/>
      <c r="B275" s="75"/>
      <c r="D275" s="76"/>
      <c r="K275" s="71"/>
      <c r="L275" s="72"/>
    </row>
    <row r="276" spans="1:12" s="66" customFormat="1">
      <c r="A276" s="72"/>
      <c r="B276" s="75"/>
      <c r="D276" s="76"/>
      <c r="K276" s="71"/>
      <c r="L276" s="72"/>
    </row>
    <row r="277" spans="1:12" s="66" customFormat="1">
      <c r="A277" s="72"/>
      <c r="B277" s="75"/>
      <c r="D277" s="76"/>
      <c r="K277" s="71"/>
      <c r="L277" s="72"/>
    </row>
    <row r="278" spans="1:12" s="66" customFormat="1">
      <c r="A278" s="72"/>
      <c r="B278" s="75"/>
      <c r="D278" s="76"/>
      <c r="K278" s="71"/>
      <c r="L278" s="72"/>
    </row>
    <row r="279" spans="1:12" s="66" customFormat="1">
      <c r="A279" s="72"/>
      <c r="B279" s="75"/>
      <c r="D279" s="76"/>
      <c r="K279" s="71"/>
      <c r="L279" s="72"/>
    </row>
    <row r="280" spans="1:12" s="66" customFormat="1">
      <c r="A280" s="72"/>
      <c r="B280" s="75"/>
      <c r="D280" s="76"/>
      <c r="K280" s="71"/>
      <c r="L280" s="72"/>
    </row>
    <row r="281" spans="1:12" s="66" customFormat="1">
      <c r="A281" s="72"/>
      <c r="B281" s="75"/>
      <c r="D281" s="76"/>
      <c r="K281" s="71"/>
      <c r="L281" s="72"/>
    </row>
    <row r="282" spans="1:12" s="66" customFormat="1">
      <c r="A282" s="72"/>
      <c r="B282" s="75"/>
      <c r="D282" s="76"/>
      <c r="K282" s="71"/>
      <c r="L282" s="72"/>
    </row>
    <row r="283" spans="1:12" s="66" customFormat="1">
      <c r="A283" s="72"/>
      <c r="B283" s="75"/>
      <c r="D283" s="76"/>
      <c r="K283" s="71"/>
      <c r="L283" s="72"/>
    </row>
    <row r="284" spans="1:12" s="66" customFormat="1">
      <c r="A284" s="72"/>
      <c r="B284" s="75"/>
      <c r="D284" s="76"/>
      <c r="K284" s="71"/>
      <c r="L284" s="72"/>
    </row>
    <row r="285" spans="1:12" s="66" customFormat="1">
      <c r="A285" s="72"/>
      <c r="B285" s="75"/>
      <c r="D285" s="76"/>
      <c r="K285" s="71"/>
      <c r="L285" s="72"/>
    </row>
    <row r="286" spans="1:12" s="66" customFormat="1">
      <c r="A286" s="72"/>
      <c r="B286" s="75"/>
      <c r="D286" s="76"/>
      <c r="K286" s="71"/>
      <c r="L286" s="72"/>
    </row>
    <row r="287" spans="1:12" s="66" customFormat="1">
      <c r="A287" s="72"/>
      <c r="B287" s="75"/>
      <c r="D287" s="76"/>
      <c r="K287" s="71"/>
      <c r="L287" s="72"/>
    </row>
    <row r="288" spans="1:12" s="66" customFormat="1">
      <c r="A288" s="72"/>
      <c r="B288" s="75"/>
      <c r="D288" s="76"/>
      <c r="K288" s="71"/>
      <c r="L288" s="72"/>
    </row>
    <row r="289" spans="1:12" s="66" customFormat="1">
      <c r="A289" s="72"/>
      <c r="B289" s="75"/>
      <c r="D289" s="76"/>
      <c r="K289" s="71"/>
      <c r="L289" s="72"/>
    </row>
    <row r="290" spans="1:12" s="66" customFormat="1">
      <c r="A290" s="72"/>
      <c r="B290" s="75"/>
      <c r="D290" s="76"/>
      <c r="K290" s="71"/>
      <c r="L290" s="72"/>
    </row>
    <row r="291" spans="1:12" s="66" customFormat="1">
      <c r="A291" s="72"/>
      <c r="B291" s="75"/>
      <c r="D291" s="76"/>
      <c r="K291" s="71"/>
      <c r="L291" s="72"/>
    </row>
    <row r="292" spans="1:12" s="66" customFormat="1">
      <c r="A292" s="72"/>
      <c r="B292" s="75"/>
      <c r="D292" s="76"/>
      <c r="K292" s="71"/>
      <c r="L292" s="72"/>
    </row>
    <row r="293" spans="1:12" s="66" customFormat="1">
      <c r="A293" s="72"/>
      <c r="B293" s="75"/>
      <c r="D293" s="76"/>
      <c r="K293" s="71"/>
      <c r="L293" s="72"/>
    </row>
    <row r="294" spans="1:12" s="66" customFormat="1">
      <c r="A294" s="72"/>
      <c r="B294" s="75"/>
      <c r="D294" s="76"/>
      <c r="K294" s="71"/>
      <c r="L294" s="72"/>
    </row>
    <row r="295" spans="1:12" s="66" customFormat="1">
      <c r="A295" s="72"/>
      <c r="B295" s="75"/>
      <c r="D295" s="76"/>
      <c r="K295" s="71"/>
      <c r="L295" s="72"/>
    </row>
    <row r="296" spans="1:12" s="66" customFormat="1">
      <c r="A296" s="72"/>
      <c r="B296" s="75"/>
      <c r="D296" s="76"/>
      <c r="K296" s="71"/>
      <c r="L296" s="72"/>
    </row>
    <row r="297" spans="1:12" s="66" customFormat="1">
      <c r="A297" s="72"/>
      <c r="B297" s="75"/>
      <c r="D297" s="76"/>
      <c r="K297" s="71"/>
      <c r="L297" s="72"/>
    </row>
    <row r="298" spans="1:12" s="66" customFormat="1">
      <c r="A298" s="72"/>
      <c r="B298" s="75"/>
      <c r="D298" s="76"/>
      <c r="K298" s="71"/>
      <c r="L298" s="72"/>
    </row>
    <row r="299" spans="1:12" s="66" customFormat="1">
      <c r="A299" s="72"/>
      <c r="B299" s="75"/>
      <c r="D299" s="76"/>
      <c r="K299" s="71"/>
      <c r="L299" s="72"/>
    </row>
    <row r="300" spans="1:12" s="66" customFormat="1">
      <c r="A300" s="72"/>
      <c r="B300" s="75"/>
      <c r="D300" s="76"/>
      <c r="K300" s="71"/>
      <c r="L300" s="72"/>
    </row>
    <row r="301" spans="1:12" s="66" customFormat="1">
      <c r="A301" s="72"/>
      <c r="B301" s="75"/>
      <c r="D301" s="76"/>
      <c r="K301" s="71"/>
      <c r="L301" s="72"/>
    </row>
    <row r="302" spans="1:12" s="66" customFormat="1">
      <c r="A302" s="72"/>
      <c r="B302" s="75"/>
      <c r="D302" s="76"/>
      <c r="K302" s="71"/>
      <c r="L302" s="72"/>
    </row>
    <row r="303" spans="1:12" s="66" customFormat="1">
      <c r="A303" s="72"/>
      <c r="B303" s="75"/>
      <c r="D303" s="76"/>
      <c r="K303" s="71"/>
      <c r="L303" s="72"/>
    </row>
    <row r="304" spans="1:12" s="66" customFormat="1">
      <c r="A304" s="72"/>
      <c r="B304" s="75"/>
      <c r="D304" s="76"/>
      <c r="K304" s="71"/>
      <c r="L304" s="72"/>
    </row>
    <row r="305" spans="1:12" s="66" customFormat="1">
      <c r="A305" s="72"/>
      <c r="B305" s="75"/>
      <c r="D305" s="76"/>
      <c r="K305" s="71"/>
      <c r="L305" s="72"/>
    </row>
    <row r="306" spans="1:12" s="66" customFormat="1">
      <c r="A306" s="72"/>
      <c r="B306" s="75"/>
      <c r="D306" s="76"/>
      <c r="K306" s="71"/>
      <c r="L306" s="72"/>
    </row>
    <row r="307" spans="1:12" s="66" customFormat="1">
      <c r="A307" s="72"/>
      <c r="B307" s="75"/>
      <c r="D307" s="76"/>
      <c r="K307" s="71"/>
      <c r="L307" s="72"/>
    </row>
    <row r="308" spans="1:12" s="66" customFormat="1">
      <c r="A308" s="72"/>
      <c r="B308" s="75"/>
      <c r="D308" s="76"/>
      <c r="K308" s="71"/>
      <c r="L308" s="72"/>
    </row>
    <row r="309" spans="1:12" s="66" customFormat="1">
      <c r="A309" s="72"/>
      <c r="B309" s="75"/>
      <c r="D309" s="76"/>
      <c r="K309" s="71"/>
      <c r="L309" s="72"/>
    </row>
    <row r="310" spans="1:12" s="66" customFormat="1">
      <c r="A310" s="72"/>
      <c r="B310" s="75"/>
      <c r="D310" s="76"/>
      <c r="K310" s="71"/>
      <c r="L310" s="72"/>
    </row>
    <row r="311" spans="1:12" s="66" customFormat="1">
      <c r="A311" s="72"/>
      <c r="B311" s="75"/>
      <c r="D311" s="76"/>
      <c r="K311" s="71"/>
      <c r="L311" s="72"/>
    </row>
    <row r="312" spans="1:12" s="66" customFormat="1">
      <c r="A312" s="72"/>
      <c r="B312" s="75"/>
      <c r="D312" s="76"/>
      <c r="K312" s="71"/>
      <c r="L312" s="72"/>
    </row>
    <row r="313" spans="1:12" s="66" customFormat="1">
      <c r="A313" s="72"/>
      <c r="B313" s="75"/>
      <c r="D313" s="76"/>
      <c r="K313" s="71"/>
      <c r="L313" s="72"/>
    </row>
    <row r="314" spans="1:12" s="66" customFormat="1">
      <c r="A314" s="72"/>
      <c r="B314" s="75"/>
      <c r="D314" s="76"/>
      <c r="K314" s="71"/>
      <c r="L314" s="72"/>
    </row>
    <row r="315" spans="1:12" s="66" customFormat="1">
      <c r="A315" s="72"/>
      <c r="B315" s="75"/>
      <c r="D315" s="76"/>
      <c r="K315" s="71"/>
      <c r="L315" s="72"/>
    </row>
    <row r="316" spans="1:12" s="66" customFormat="1">
      <c r="A316" s="72"/>
      <c r="B316" s="75"/>
      <c r="D316" s="76"/>
      <c r="K316" s="71"/>
      <c r="L316" s="72"/>
    </row>
    <row r="317" spans="1:12" s="66" customFormat="1">
      <c r="A317" s="72"/>
      <c r="B317" s="75"/>
      <c r="D317" s="76"/>
      <c r="K317" s="71"/>
      <c r="L317" s="72"/>
    </row>
    <row r="318" spans="1:12" s="66" customFormat="1">
      <c r="A318" s="72"/>
      <c r="B318" s="75"/>
      <c r="D318" s="76"/>
      <c r="K318" s="71"/>
      <c r="L318" s="72"/>
    </row>
    <row r="319" spans="1:12" s="66" customFormat="1">
      <c r="A319" s="72"/>
      <c r="B319" s="75"/>
      <c r="D319" s="76"/>
      <c r="K319" s="71"/>
      <c r="L319" s="72"/>
    </row>
    <row r="320" spans="1:12" s="66" customFormat="1">
      <c r="A320" s="72"/>
      <c r="B320" s="75"/>
      <c r="D320" s="76"/>
      <c r="K320" s="71"/>
      <c r="L320" s="72"/>
    </row>
    <row r="321" spans="1:12" s="66" customFormat="1">
      <c r="A321" s="72"/>
      <c r="B321" s="75"/>
      <c r="D321" s="76"/>
      <c r="K321" s="71"/>
      <c r="L321" s="72"/>
    </row>
    <row r="322" spans="1:12" s="66" customFormat="1">
      <c r="A322" s="72"/>
      <c r="B322" s="75"/>
      <c r="D322" s="76"/>
      <c r="K322" s="71"/>
      <c r="L322" s="72"/>
    </row>
    <row r="323" spans="1:12" s="66" customFormat="1">
      <c r="A323" s="72"/>
      <c r="B323" s="75"/>
      <c r="D323" s="76"/>
      <c r="K323" s="71"/>
      <c r="L323" s="72"/>
    </row>
    <row r="324" spans="1:12" s="66" customFormat="1">
      <c r="A324" s="72"/>
      <c r="B324" s="75"/>
      <c r="D324" s="76"/>
      <c r="K324" s="71"/>
      <c r="L324" s="72"/>
    </row>
    <row r="325" spans="1:12" s="66" customFormat="1">
      <c r="A325" s="72"/>
      <c r="B325" s="75"/>
      <c r="D325" s="76"/>
      <c r="K325" s="71"/>
      <c r="L325" s="72"/>
    </row>
    <row r="326" spans="1:12" s="66" customFormat="1">
      <c r="A326" s="72"/>
      <c r="B326" s="75"/>
      <c r="D326" s="76"/>
      <c r="K326" s="71"/>
      <c r="L326" s="72"/>
    </row>
    <row r="327" spans="1:12" s="66" customFormat="1">
      <c r="A327" s="72"/>
      <c r="B327" s="75"/>
      <c r="D327" s="76"/>
      <c r="K327" s="71"/>
      <c r="L327" s="72"/>
    </row>
    <row r="328" spans="1:12" s="66" customFormat="1">
      <c r="A328" s="72"/>
      <c r="B328" s="75"/>
      <c r="D328" s="76"/>
      <c r="K328" s="71"/>
      <c r="L328" s="72"/>
    </row>
    <row r="329" spans="1:12" s="66" customFormat="1">
      <c r="A329" s="72"/>
      <c r="B329" s="75"/>
      <c r="D329" s="76"/>
      <c r="K329" s="71"/>
      <c r="L329" s="72"/>
    </row>
    <row r="330" spans="1:12" s="66" customFormat="1">
      <c r="A330" s="72"/>
      <c r="B330" s="75"/>
      <c r="D330" s="76"/>
      <c r="K330" s="71"/>
      <c r="L330" s="72"/>
    </row>
    <row r="331" spans="1:12" s="66" customFormat="1">
      <c r="A331" s="72"/>
      <c r="B331" s="75"/>
      <c r="D331" s="76"/>
      <c r="K331" s="71"/>
      <c r="L331" s="72"/>
    </row>
    <row r="332" spans="1:12" s="66" customFormat="1">
      <c r="A332" s="72"/>
      <c r="B332" s="75"/>
      <c r="D332" s="76"/>
      <c r="K332" s="71"/>
      <c r="L332" s="72"/>
    </row>
    <row r="333" spans="1:12" s="66" customFormat="1">
      <c r="A333" s="72"/>
      <c r="B333" s="75"/>
      <c r="D333" s="76"/>
      <c r="K333" s="71"/>
      <c r="L333" s="72"/>
    </row>
    <row r="334" spans="1:12" s="66" customFormat="1">
      <c r="A334" s="72"/>
      <c r="B334" s="75"/>
      <c r="D334" s="76"/>
      <c r="K334" s="71"/>
      <c r="L334" s="72"/>
    </row>
    <row r="335" spans="1:12" s="66" customFormat="1">
      <c r="A335" s="72"/>
      <c r="B335" s="75"/>
      <c r="D335" s="76"/>
      <c r="K335" s="71"/>
      <c r="L335" s="72"/>
    </row>
    <row r="336" spans="1:12" s="66" customFormat="1">
      <c r="A336" s="72"/>
      <c r="B336" s="75"/>
      <c r="D336" s="76"/>
      <c r="K336" s="71"/>
      <c r="L336" s="72"/>
    </row>
    <row r="337" spans="1:12" s="66" customFormat="1">
      <c r="A337" s="72"/>
      <c r="B337" s="75"/>
      <c r="D337" s="76"/>
      <c r="K337" s="71"/>
      <c r="L337" s="72"/>
    </row>
    <row r="338" spans="1:12" s="66" customFormat="1">
      <c r="A338" s="72"/>
      <c r="B338" s="75"/>
      <c r="D338" s="76"/>
      <c r="K338" s="71"/>
      <c r="L338" s="72"/>
    </row>
    <row r="339" spans="1:12" s="66" customFormat="1">
      <c r="A339" s="72"/>
      <c r="B339" s="75"/>
      <c r="D339" s="76"/>
      <c r="K339" s="71"/>
      <c r="L339" s="72"/>
    </row>
    <row r="340" spans="1:12" s="66" customFormat="1">
      <c r="A340" s="72"/>
      <c r="B340" s="75"/>
      <c r="D340" s="76"/>
      <c r="K340" s="71"/>
      <c r="L340" s="72"/>
    </row>
    <row r="341" spans="1:12" s="66" customFormat="1">
      <c r="A341" s="72"/>
      <c r="B341" s="75"/>
      <c r="D341" s="76"/>
      <c r="K341" s="71"/>
      <c r="L341" s="72"/>
    </row>
    <row r="342" spans="1:12" s="66" customFormat="1">
      <c r="A342" s="72"/>
      <c r="B342" s="75"/>
      <c r="D342" s="76"/>
      <c r="K342" s="71"/>
      <c r="L342" s="72"/>
    </row>
    <row r="343" spans="1:12" s="66" customFormat="1">
      <c r="A343" s="72"/>
      <c r="B343" s="75"/>
      <c r="D343" s="76"/>
      <c r="K343" s="71"/>
      <c r="L343" s="72"/>
    </row>
    <row r="344" spans="1:12" s="66" customFormat="1">
      <c r="A344" s="72"/>
      <c r="B344" s="75"/>
      <c r="D344" s="76"/>
      <c r="K344" s="71"/>
      <c r="L344" s="72"/>
    </row>
    <row r="345" spans="1:12" s="66" customFormat="1">
      <c r="A345" s="72"/>
      <c r="B345" s="75"/>
      <c r="D345" s="76"/>
      <c r="K345" s="71"/>
      <c r="L345" s="72"/>
    </row>
    <row r="346" spans="1:12" s="66" customFormat="1">
      <c r="A346" s="72"/>
      <c r="B346" s="75"/>
      <c r="D346" s="76"/>
      <c r="K346" s="71"/>
      <c r="L346" s="72"/>
    </row>
    <row r="347" spans="1:12" s="66" customFormat="1">
      <c r="A347" s="72"/>
      <c r="B347" s="75"/>
      <c r="D347" s="76"/>
      <c r="K347" s="71"/>
      <c r="L347" s="72"/>
    </row>
    <row r="348" spans="1:12" s="66" customFormat="1">
      <c r="A348" s="72"/>
      <c r="B348" s="75"/>
      <c r="D348" s="76"/>
      <c r="K348" s="71"/>
      <c r="L348" s="72"/>
    </row>
    <row r="349" spans="1:12" s="66" customFormat="1">
      <c r="A349" s="72"/>
      <c r="B349" s="75"/>
      <c r="D349" s="76"/>
      <c r="K349" s="71"/>
      <c r="L349" s="72"/>
    </row>
    <row r="350" spans="1:12" s="66" customFormat="1">
      <c r="A350" s="72"/>
      <c r="B350" s="75"/>
      <c r="D350" s="76"/>
      <c r="K350" s="71"/>
      <c r="L350" s="72"/>
    </row>
    <row r="351" spans="1:12" s="66" customFormat="1">
      <c r="A351" s="72"/>
      <c r="B351" s="75"/>
      <c r="D351" s="76"/>
      <c r="K351" s="71"/>
      <c r="L351" s="72"/>
    </row>
    <row r="352" spans="1:12" s="66" customFormat="1">
      <c r="A352" s="72"/>
      <c r="B352" s="75"/>
      <c r="D352" s="76"/>
      <c r="K352" s="71"/>
      <c r="L352" s="72"/>
    </row>
    <row r="353" spans="1:12" s="66" customFormat="1">
      <c r="A353" s="72"/>
      <c r="B353" s="75"/>
      <c r="D353" s="76"/>
      <c r="K353" s="71"/>
      <c r="L353" s="72"/>
    </row>
    <row r="354" spans="1:12" s="66" customFormat="1">
      <c r="A354" s="72"/>
      <c r="B354" s="75"/>
      <c r="D354" s="76"/>
      <c r="K354" s="71"/>
      <c r="L354" s="72"/>
    </row>
    <row r="355" spans="1:12" s="66" customFormat="1">
      <c r="A355" s="72"/>
      <c r="B355" s="75"/>
      <c r="D355" s="76"/>
      <c r="K355" s="71"/>
      <c r="L355" s="72"/>
    </row>
    <row r="356" spans="1:12" s="66" customFormat="1">
      <c r="A356" s="72"/>
      <c r="B356" s="75"/>
      <c r="D356" s="76"/>
      <c r="K356" s="71"/>
      <c r="L356" s="72"/>
    </row>
    <row r="357" spans="1:12" s="66" customFormat="1">
      <c r="A357" s="72"/>
      <c r="B357" s="75"/>
      <c r="D357" s="76"/>
      <c r="K357" s="71"/>
      <c r="L357" s="72"/>
    </row>
    <row r="358" spans="1:12" s="66" customFormat="1">
      <c r="A358" s="72"/>
      <c r="B358" s="75"/>
      <c r="D358" s="76"/>
      <c r="K358" s="71"/>
      <c r="L358" s="72"/>
    </row>
    <row r="359" spans="1:12" s="66" customFormat="1">
      <c r="A359" s="72"/>
      <c r="B359" s="75"/>
      <c r="D359" s="76"/>
      <c r="K359" s="71"/>
      <c r="L359" s="72"/>
    </row>
    <row r="360" spans="1:12" s="66" customFormat="1">
      <c r="A360" s="72"/>
      <c r="B360" s="75"/>
      <c r="D360" s="76"/>
      <c r="K360" s="71"/>
      <c r="L360" s="72"/>
    </row>
    <row r="361" spans="1:12" s="66" customFormat="1">
      <c r="A361" s="72"/>
      <c r="B361" s="75"/>
      <c r="D361" s="76"/>
      <c r="K361" s="71"/>
      <c r="L361" s="72"/>
    </row>
    <row r="362" spans="1:12" s="66" customFormat="1">
      <c r="A362" s="72"/>
      <c r="B362" s="75"/>
      <c r="D362" s="76"/>
      <c r="K362" s="71"/>
      <c r="L362" s="72"/>
    </row>
    <row r="363" spans="1:12" s="66" customFormat="1">
      <c r="A363" s="72"/>
      <c r="B363" s="75"/>
      <c r="D363" s="76"/>
      <c r="K363" s="71"/>
      <c r="L363" s="72"/>
    </row>
    <row r="364" spans="1:12" s="66" customFormat="1">
      <c r="A364" s="72"/>
      <c r="B364" s="75"/>
      <c r="D364" s="76"/>
      <c r="K364" s="71"/>
      <c r="L364" s="72"/>
    </row>
    <row r="365" spans="1:12" s="66" customFormat="1">
      <c r="A365" s="72"/>
      <c r="B365" s="75"/>
      <c r="D365" s="76"/>
      <c r="K365" s="71"/>
      <c r="L365" s="72"/>
    </row>
    <row r="366" spans="1:12" s="66" customFormat="1">
      <c r="A366" s="72"/>
      <c r="B366" s="75"/>
      <c r="D366" s="76"/>
      <c r="K366" s="71"/>
      <c r="L366" s="72"/>
    </row>
    <row r="367" spans="1:12" s="66" customFormat="1">
      <c r="A367" s="72"/>
      <c r="B367" s="75"/>
      <c r="D367" s="76"/>
      <c r="K367" s="71"/>
      <c r="L367" s="72"/>
    </row>
    <row r="368" spans="1:12" s="66" customFormat="1">
      <c r="A368" s="72"/>
      <c r="B368" s="75"/>
      <c r="D368" s="76"/>
      <c r="K368" s="71"/>
      <c r="L368" s="72"/>
    </row>
    <row r="369" spans="1:12" s="66" customFormat="1">
      <c r="A369" s="72"/>
      <c r="B369" s="75"/>
      <c r="D369" s="76"/>
      <c r="K369" s="71"/>
      <c r="L369" s="72"/>
    </row>
    <row r="370" spans="1:12" s="66" customFormat="1">
      <c r="A370" s="72"/>
      <c r="B370" s="75"/>
      <c r="D370" s="76"/>
      <c r="K370" s="71"/>
      <c r="L370" s="72"/>
    </row>
    <row r="371" spans="1:12" s="66" customFormat="1">
      <c r="A371" s="72"/>
      <c r="B371" s="75"/>
      <c r="D371" s="76"/>
      <c r="K371" s="71"/>
      <c r="L371" s="72"/>
    </row>
    <row r="372" spans="1:12" s="66" customFormat="1">
      <c r="A372" s="72"/>
      <c r="B372" s="75"/>
      <c r="D372" s="76"/>
      <c r="K372" s="71"/>
      <c r="L372" s="72"/>
    </row>
    <row r="373" spans="1:12" s="66" customFormat="1">
      <c r="A373" s="72"/>
      <c r="B373" s="75"/>
      <c r="D373" s="76"/>
      <c r="K373" s="71"/>
      <c r="L373" s="72"/>
    </row>
    <row r="374" spans="1:12" s="66" customFormat="1">
      <c r="A374" s="72"/>
      <c r="B374" s="75"/>
      <c r="D374" s="76"/>
      <c r="K374" s="71"/>
      <c r="L374" s="72"/>
    </row>
    <row r="375" spans="1:12" s="66" customFormat="1">
      <c r="A375" s="72"/>
      <c r="B375" s="75"/>
      <c r="D375" s="76"/>
      <c r="K375" s="71"/>
      <c r="L375" s="72"/>
    </row>
    <row r="376" spans="1:12" s="66" customFormat="1">
      <c r="A376" s="72"/>
      <c r="B376" s="75"/>
      <c r="D376" s="76"/>
      <c r="K376" s="71"/>
      <c r="L376" s="72"/>
    </row>
    <row r="377" spans="1:12" s="66" customFormat="1">
      <c r="A377" s="72"/>
      <c r="B377" s="75"/>
      <c r="D377" s="76"/>
      <c r="K377" s="71"/>
      <c r="L377" s="72"/>
    </row>
    <row r="378" spans="1:12" s="66" customFormat="1">
      <c r="A378" s="72"/>
      <c r="B378" s="75"/>
      <c r="D378" s="76"/>
      <c r="K378" s="71"/>
      <c r="L378" s="72"/>
    </row>
    <row r="379" spans="1:12" s="66" customFormat="1">
      <c r="A379" s="72"/>
      <c r="B379" s="75"/>
      <c r="D379" s="76"/>
      <c r="K379" s="71"/>
      <c r="L379" s="72"/>
    </row>
    <row r="380" spans="1:12" s="66" customFormat="1">
      <c r="A380" s="72"/>
      <c r="B380" s="75"/>
      <c r="D380" s="76"/>
      <c r="K380" s="71"/>
      <c r="L380" s="72"/>
    </row>
    <row r="381" spans="1:12" s="66" customFormat="1">
      <c r="A381" s="72"/>
      <c r="B381" s="75"/>
      <c r="D381" s="76"/>
      <c r="K381" s="71"/>
      <c r="L381" s="72"/>
    </row>
    <row r="382" spans="1:12" s="66" customFormat="1">
      <c r="A382" s="72"/>
      <c r="B382" s="75"/>
      <c r="D382" s="76"/>
      <c r="K382" s="71"/>
      <c r="L382" s="72"/>
    </row>
    <row r="383" spans="1:12" s="66" customFormat="1">
      <c r="A383" s="72"/>
      <c r="B383" s="75"/>
      <c r="D383" s="76"/>
      <c r="K383" s="71"/>
      <c r="L383" s="72"/>
    </row>
    <row r="384" spans="1:12" s="66" customFormat="1">
      <c r="A384" s="72"/>
      <c r="B384" s="75"/>
      <c r="D384" s="76"/>
      <c r="K384" s="71"/>
      <c r="L384" s="72"/>
    </row>
    <row r="385" spans="1:12" s="66" customFormat="1">
      <c r="A385" s="72"/>
      <c r="B385" s="75"/>
      <c r="D385" s="76"/>
      <c r="K385" s="71"/>
      <c r="L385" s="72"/>
    </row>
    <row r="386" spans="1:12" s="66" customFormat="1">
      <c r="A386" s="72"/>
      <c r="B386" s="75"/>
      <c r="D386" s="76"/>
      <c r="K386" s="71"/>
      <c r="L386" s="72"/>
    </row>
    <row r="387" spans="1:12" s="66" customFormat="1">
      <c r="A387" s="72"/>
      <c r="B387" s="75"/>
      <c r="D387" s="76"/>
      <c r="K387" s="71"/>
      <c r="L387" s="72"/>
    </row>
    <row r="388" spans="1:12" s="66" customFormat="1">
      <c r="A388" s="72"/>
      <c r="B388" s="75"/>
      <c r="D388" s="76"/>
      <c r="K388" s="71"/>
      <c r="L388" s="72"/>
    </row>
    <row r="389" spans="1:12" s="66" customFormat="1">
      <c r="A389" s="72"/>
      <c r="B389" s="75"/>
      <c r="D389" s="76"/>
      <c r="K389" s="71"/>
      <c r="L389" s="72"/>
    </row>
    <row r="390" spans="1:12" s="66" customFormat="1">
      <c r="A390" s="72"/>
      <c r="B390" s="75"/>
      <c r="D390" s="76"/>
      <c r="K390" s="71"/>
      <c r="L390" s="72"/>
    </row>
    <row r="391" spans="1:12" s="66" customFormat="1">
      <c r="A391" s="72"/>
      <c r="B391" s="75"/>
      <c r="D391" s="76"/>
      <c r="K391" s="71"/>
      <c r="L391" s="72"/>
    </row>
    <row r="392" spans="1:12" s="66" customFormat="1">
      <c r="A392" s="72"/>
      <c r="B392" s="75"/>
      <c r="D392" s="76"/>
      <c r="K392" s="71"/>
      <c r="L392" s="72"/>
    </row>
    <row r="393" spans="1:12" s="66" customFormat="1">
      <c r="A393" s="72"/>
      <c r="B393" s="75"/>
      <c r="D393" s="76"/>
      <c r="K393" s="71"/>
      <c r="L393" s="72"/>
    </row>
    <row r="394" spans="1:12" s="66" customFormat="1">
      <c r="A394" s="72"/>
      <c r="B394" s="75"/>
      <c r="D394" s="76"/>
      <c r="K394" s="71"/>
      <c r="L394" s="72"/>
    </row>
    <row r="395" spans="1:12" s="66" customFormat="1">
      <c r="A395" s="72"/>
      <c r="B395" s="75"/>
      <c r="D395" s="76"/>
      <c r="K395" s="71"/>
      <c r="L395" s="72"/>
    </row>
    <row r="396" spans="1:12" s="66" customFormat="1">
      <c r="A396" s="72"/>
      <c r="B396" s="75"/>
      <c r="D396" s="76"/>
      <c r="K396" s="71"/>
      <c r="L396" s="72"/>
    </row>
    <row r="397" spans="1:12" s="66" customFormat="1">
      <c r="A397" s="72"/>
      <c r="B397" s="75"/>
      <c r="D397" s="76"/>
      <c r="K397" s="71"/>
      <c r="L397" s="72"/>
    </row>
    <row r="398" spans="1:12" s="66" customFormat="1">
      <c r="A398" s="72"/>
      <c r="B398" s="75"/>
      <c r="D398" s="76"/>
      <c r="K398" s="71"/>
      <c r="L398" s="72"/>
    </row>
    <row r="399" spans="1:12" s="66" customFormat="1">
      <c r="A399" s="72"/>
      <c r="B399" s="75"/>
      <c r="D399" s="76"/>
      <c r="K399" s="71"/>
      <c r="L399" s="72"/>
    </row>
    <row r="400" spans="1:12" s="66" customFormat="1">
      <c r="A400" s="72"/>
      <c r="B400" s="75"/>
      <c r="D400" s="76"/>
      <c r="K400" s="71"/>
      <c r="L400" s="72"/>
    </row>
    <row r="401" spans="1:12" s="66" customFormat="1">
      <c r="A401" s="72"/>
      <c r="B401" s="75"/>
      <c r="D401" s="76"/>
      <c r="K401" s="71"/>
      <c r="L401" s="72"/>
    </row>
    <row r="402" spans="1:12" s="66" customFormat="1">
      <c r="A402" s="72"/>
      <c r="B402" s="75"/>
      <c r="D402" s="76"/>
      <c r="K402" s="71"/>
      <c r="L402" s="72"/>
    </row>
    <row r="403" spans="1:12" s="66" customFormat="1">
      <c r="A403" s="72"/>
      <c r="B403" s="75"/>
      <c r="D403" s="76"/>
      <c r="K403" s="71"/>
      <c r="L403" s="72"/>
    </row>
    <row r="404" spans="1:12" s="66" customFormat="1">
      <c r="A404" s="72"/>
      <c r="B404" s="75"/>
      <c r="D404" s="76"/>
      <c r="K404" s="71"/>
      <c r="L404" s="72"/>
    </row>
    <row r="405" spans="1:12" s="66" customFormat="1">
      <c r="A405" s="72"/>
      <c r="B405" s="75"/>
      <c r="D405" s="76"/>
      <c r="K405" s="71"/>
      <c r="L405" s="72"/>
    </row>
    <row r="406" spans="1:12" s="66" customFormat="1">
      <c r="A406" s="72"/>
      <c r="B406" s="75"/>
      <c r="D406" s="76"/>
      <c r="K406" s="71"/>
      <c r="L406" s="72"/>
    </row>
    <row r="407" spans="1:12" s="66" customFormat="1">
      <c r="A407" s="72"/>
      <c r="B407" s="75"/>
      <c r="D407" s="76"/>
      <c r="K407" s="71"/>
      <c r="L407" s="72"/>
    </row>
    <row r="408" spans="1:12" s="66" customFormat="1">
      <c r="A408" s="72"/>
      <c r="B408" s="75"/>
      <c r="D408" s="76"/>
      <c r="K408" s="71"/>
      <c r="L408" s="72"/>
    </row>
    <row r="409" spans="1:12" s="66" customFormat="1">
      <c r="A409" s="72"/>
      <c r="B409" s="75"/>
      <c r="D409" s="76"/>
      <c r="K409" s="71"/>
      <c r="L409" s="72"/>
    </row>
    <row r="410" spans="1:12" s="66" customFormat="1">
      <c r="A410" s="72"/>
      <c r="B410" s="75"/>
      <c r="D410" s="76"/>
      <c r="K410" s="71"/>
      <c r="L410" s="72"/>
    </row>
    <row r="411" spans="1:12" s="66" customFormat="1">
      <c r="A411" s="72"/>
      <c r="B411" s="75"/>
      <c r="D411" s="76"/>
      <c r="K411" s="71"/>
      <c r="L411" s="72"/>
    </row>
    <row r="412" spans="1:12" s="66" customFormat="1">
      <c r="A412" s="72"/>
      <c r="B412" s="75"/>
      <c r="D412" s="76"/>
      <c r="K412" s="71"/>
      <c r="L412" s="72"/>
    </row>
    <row r="413" spans="1:12" s="66" customFormat="1">
      <c r="A413" s="72"/>
      <c r="B413" s="75"/>
      <c r="D413" s="76"/>
      <c r="K413" s="71"/>
      <c r="L413" s="72"/>
    </row>
    <row r="414" spans="1:12" s="66" customFormat="1">
      <c r="A414" s="72"/>
      <c r="B414" s="75"/>
      <c r="D414" s="76"/>
      <c r="K414" s="71"/>
      <c r="L414" s="72"/>
    </row>
    <row r="415" spans="1:12" s="66" customFormat="1">
      <c r="A415" s="72"/>
      <c r="B415" s="75"/>
      <c r="D415" s="76"/>
      <c r="K415" s="71"/>
      <c r="L415" s="72"/>
    </row>
    <row r="416" spans="1:12" s="66" customFormat="1">
      <c r="A416" s="72"/>
      <c r="B416" s="75"/>
      <c r="D416" s="76"/>
      <c r="K416" s="71"/>
      <c r="L416" s="72"/>
    </row>
    <row r="417" spans="1:12" s="66" customFormat="1">
      <c r="A417" s="72"/>
      <c r="B417" s="75"/>
      <c r="D417" s="76"/>
      <c r="K417" s="71"/>
      <c r="L417" s="72"/>
    </row>
    <row r="418" spans="1:12" s="66" customFormat="1">
      <c r="A418" s="72"/>
      <c r="B418" s="75"/>
      <c r="D418" s="76"/>
      <c r="K418" s="71"/>
      <c r="L418" s="72"/>
    </row>
    <row r="419" spans="1:12" s="66" customFormat="1">
      <c r="A419" s="72"/>
      <c r="B419" s="75"/>
      <c r="D419" s="76"/>
      <c r="K419" s="71"/>
      <c r="L419" s="72"/>
    </row>
    <row r="420" spans="1:12" s="66" customFormat="1">
      <c r="A420" s="72"/>
      <c r="B420" s="75"/>
      <c r="D420" s="76"/>
      <c r="K420" s="71"/>
      <c r="L420" s="72"/>
    </row>
    <row r="421" spans="1:12" s="66" customFormat="1">
      <c r="A421" s="72"/>
      <c r="B421" s="75"/>
      <c r="D421" s="76"/>
      <c r="K421" s="71"/>
      <c r="L421" s="72"/>
    </row>
    <row r="422" spans="1:12" s="66" customFormat="1">
      <c r="A422" s="72"/>
      <c r="B422" s="75"/>
      <c r="D422" s="76"/>
      <c r="K422" s="71"/>
      <c r="L422" s="72"/>
    </row>
    <row r="423" spans="1:12" s="66" customFormat="1">
      <c r="A423" s="72"/>
      <c r="B423" s="75"/>
      <c r="D423" s="76"/>
      <c r="K423" s="71"/>
      <c r="L423" s="72"/>
    </row>
    <row r="424" spans="1:12" s="66" customFormat="1">
      <c r="A424" s="72"/>
      <c r="B424" s="75"/>
      <c r="D424" s="76"/>
      <c r="K424" s="71"/>
      <c r="L424" s="72"/>
    </row>
    <row r="425" spans="1:12" s="66" customFormat="1">
      <c r="A425" s="72"/>
      <c r="B425" s="75"/>
      <c r="D425" s="76"/>
      <c r="K425" s="71"/>
      <c r="L425" s="72"/>
    </row>
    <row r="426" spans="1:12" s="66" customFormat="1">
      <c r="A426" s="72"/>
      <c r="B426" s="75"/>
      <c r="D426" s="76"/>
      <c r="K426" s="71"/>
      <c r="L426" s="72"/>
    </row>
    <row r="427" spans="1:12" s="66" customFormat="1">
      <c r="A427" s="72"/>
      <c r="B427" s="75"/>
      <c r="D427" s="76"/>
      <c r="K427" s="71"/>
      <c r="L427" s="72"/>
    </row>
    <row r="428" spans="1:12" s="66" customFormat="1">
      <c r="A428" s="72"/>
      <c r="B428" s="75"/>
      <c r="D428" s="76"/>
      <c r="K428" s="71"/>
      <c r="L428" s="72"/>
    </row>
    <row r="429" spans="1:12" s="66" customFormat="1">
      <c r="A429" s="72"/>
      <c r="B429" s="75"/>
      <c r="D429" s="76"/>
      <c r="K429" s="71"/>
      <c r="L429" s="72"/>
    </row>
    <row r="430" spans="1:12" s="66" customFormat="1">
      <c r="A430" s="72"/>
      <c r="B430" s="75"/>
      <c r="D430" s="76"/>
      <c r="K430" s="71"/>
      <c r="L430" s="72"/>
    </row>
  </sheetData>
  <mergeCells count="33">
    <mergeCell ref="K1:K5"/>
    <mergeCell ref="L2:L5"/>
    <mergeCell ref="E5:G5"/>
    <mergeCell ref="H5:J5"/>
    <mergeCell ref="A6:A12"/>
    <mergeCell ref="L6:L12"/>
    <mergeCell ref="A1:A5"/>
    <mergeCell ref="B1:B5"/>
    <mergeCell ref="C1:C5"/>
    <mergeCell ref="D1:D5"/>
    <mergeCell ref="E1:G1"/>
    <mergeCell ref="H1:J1"/>
    <mergeCell ref="A13:A20"/>
    <mergeCell ref="L13:L20"/>
    <mergeCell ref="A21:A24"/>
    <mergeCell ref="L21:L24"/>
    <mergeCell ref="A25:A27"/>
    <mergeCell ref="L25:L27"/>
    <mergeCell ref="E45:J45"/>
    <mergeCell ref="A28:A30"/>
    <mergeCell ref="L28:L30"/>
    <mergeCell ref="A31:A39"/>
    <mergeCell ref="L31:L39"/>
    <mergeCell ref="A40:A43"/>
    <mergeCell ref="B40:D40"/>
    <mergeCell ref="L40:L43"/>
    <mergeCell ref="B41:D41"/>
    <mergeCell ref="E41:G41"/>
    <mergeCell ref="H41:J41"/>
    <mergeCell ref="B42:D42"/>
    <mergeCell ref="B43:D43"/>
    <mergeCell ref="E43:G43"/>
    <mergeCell ref="H43:J43"/>
  </mergeCells>
  <pageMargins left="0.511811024" right="0.511811024" top="0.78740157499999996" bottom="0.78740157499999996" header="0.31496062000000002" footer="0.31496062000000002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33" zoomScale="110" zoomScaleNormal="110" workbookViewId="0">
      <selection activeCell="G51" sqref="G51"/>
    </sheetView>
  </sheetViews>
  <sheetFormatPr defaultRowHeight="15"/>
  <cols>
    <col min="1" max="2" width="14.5703125" customWidth="1"/>
    <col min="5" max="5" width="14" customWidth="1"/>
    <col min="6" max="6" width="12.42578125" customWidth="1"/>
  </cols>
  <sheetData>
    <row r="1" spans="1:9">
      <c r="A1" s="133" t="s">
        <v>32</v>
      </c>
      <c r="B1" s="134"/>
      <c r="C1" s="134"/>
      <c r="D1" s="134" t="s">
        <v>33</v>
      </c>
      <c r="E1" s="134"/>
      <c r="F1" s="134"/>
      <c r="G1" s="135"/>
      <c r="H1" s="79"/>
      <c r="I1" s="57"/>
    </row>
    <row r="2" spans="1:9">
      <c r="A2" s="2" t="s">
        <v>34</v>
      </c>
      <c r="B2" s="3" t="s">
        <v>35</v>
      </c>
      <c r="C2" s="3" t="s">
        <v>36</v>
      </c>
      <c r="D2" s="3" t="s">
        <v>34</v>
      </c>
      <c r="E2" s="3" t="s">
        <v>37</v>
      </c>
      <c r="F2" s="3" t="s">
        <v>38</v>
      </c>
      <c r="G2" s="136"/>
      <c r="H2" s="80"/>
      <c r="I2" s="58"/>
    </row>
    <row r="3" spans="1:9" ht="30">
      <c r="A3" s="5" t="s">
        <v>39</v>
      </c>
      <c r="B3" s="6">
        <v>0.33</v>
      </c>
      <c r="C3" s="7">
        <f>(A12+C12)</f>
        <v>3.8976000000000002</v>
      </c>
      <c r="D3" s="8" t="s">
        <v>40</v>
      </c>
      <c r="E3" s="6">
        <v>0</v>
      </c>
      <c r="F3" s="7">
        <f>E3+H12</f>
        <v>4.7556000000000003</v>
      </c>
      <c r="G3" s="80"/>
      <c r="H3" s="80"/>
      <c r="I3" s="58"/>
    </row>
    <row r="4" spans="1:9" ht="30">
      <c r="A4" s="9" t="s">
        <v>41</v>
      </c>
      <c r="B4" s="7">
        <f>C3+0.01</f>
        <v>3.9076</v>
      </c>
      <c r="C4" s="7">
        <f>B5-0.01</f>
        <v>13.2362</v>
      </c>
      <c r="D4" s="10" t="s">
        <v>42</v>
      </c>
      <c r="E4" s="7">
        <f>F3+0.01</f>
        <v>4.7656000000000001</v>
      </c>
      <c r="F4" s="7">
        <f>E5-0.01</f>
        <v>17.427199999999999</v>
      </c>
      <c r="G4" s="80"/>
      <c r="H4" s="80"/>
      <c r="I4" s="58"/>
    </row>
    <row r="5" spans="1:9" ht="30">
      <c r="A5" s="11" t="s">
        <v>43</v>
      </c>
      <c r="B5" s="7">
        <f>(B7+B3)/2</f>
        <v>13.2462</v>
      </c>
      <c r="C5" s="7">
        <f>(C7+C3)/2</f>
        <v>16.813800000000001</v>
      </c>
      <c r="D5" s="12" t="s">
        <v>44</v>
      </c>
      <c r="E5" s="7">
        <f>(E7+E3)/2</f>
        <v>17.437200000000001</v>
      </c>
      <c r="F5" s="7">
        <f>(F7+F3)/2</f>
        <v>22.192800000000002</v>
      </c>
      <c r="G5" s="80"/>
      <c r="H5" s="80"/>
      <c r="I5" s="58"/>
    </row>
    <row r="6" spans="1:9" ht="30">
      <c r="A6" s="13" t="s">
        <v>45</v>
      </c>
      <c r="B6" s="7">
        <f>C5+0.01</f>
        <v>16.823800000000002</v>
      </c>
      <c r="C6" s="7">
        <f>B7-0.01</f>
        <v>26.1524</v>
      </c>
      <c r="D6" s="14" t="s">
        <v>46</v>
      </c>
      <c r="E6" s="7">
        <f>F5+0.01</f>
        <v>22.202800000000003</v>
      </c>
      <c r="F6" s="7">
        <f>E7-0.01</f>
        <v>34.864400000000003</v>
      </c>
      <c r="G6" s="15"/>
      <c r="H6" s="15"/>
      <c r="I6" s="58"/>
    </row>
    <row r="7" spans="1:9" ht="30">
      <c r="A7" s="16" t="s">
        <v>47</v>
      </c>
      <c r="B7" s="7">
        <f>C7-C12</f>
        <v>26.162400000000002</v>
      </c>
      <c r="C7" s="6">
        <v>29.73</v>
      </c>
      <c r="D7" s="17" t="s">
        <v>48</v>
      </c>
      <c r="E7" s="7">
        <f>F7-F3</f>
        <v>34.874400000000001</v>
      </c>
      <c r="F7" s="6">
        <v>39.630000000000003</v>
      </c>
      <c r="G7" s="15"/>
      <c r="H7" s="15"/>
      <c r="I7" s="58"/>
    </row>
    <row r="8" spans="1:9">
      <c r="A8" s="18"/>
      <c r="I8" s="58"/>
    </row>
    <row r="9" spans="1:9">
      <c r="A9" s="18"/>
      <c r="I9" s="58"/>
    </row>
    <row r="10" spans="1:9">
      <c r="A10" s="18"/>
      <c r="I10" s="58"/>
    </row>
    <row r="11" spans="1:9">
      <c r="A11" s="18"/>
      <c r="I11" s="58"/>
    </row>
    <row r="12" spans="1:9">
      <c r="A12" s="19">
        <v>0.33</v>
      </c>
      <c r="B12" s="20"/>
      <c r="C12" s="21">
        <f>A16*D12</f>
        <v>3.5676000000000001</v>
      </c>
      <c r="D12" s="22">
        <v>0.12</v>
      </c>
      <c r="E12" s="23"/>
      <c r="F12" s="24">
        <v>0</v>
      </c>
      <c r="G12" s="23"/>
      <c r="H12" s="21">
        <f>F16*I12</f>
        <v>4.7556000000000003</v>
      </c>
      <c r="I12" s="59">
        <v>0.12</v>
      </c>
    </row>
    <row r="13" spans="1:9">
      <c r="A13" s="25">
        <f>(A14+A12)/2</f>
        <v>7.68</v>
      </c>
      <c r="B13" s="21">
        <f>(A13+A12)/2</f>
        <v>4.0049999999999999</v>
      </c>
      <c r="C13" s="21"/>
      <c r="D13" s="20"/>
      <c r="E13" s="23"/>
      <c r="F13" s="21">
        <f>(F14+F12)/2</f>
        <v>9.9075000000000006</v>
      </c>
      <c r="G13" s="26">
        <f>(F13+F12)/2</f>
        <v>4.9537500000000003</v>
      </c>
      <c r="H13" s="21"/>
      <c r="I13" s="60"/>
    </row>
    <row r="14" spans="1:9">
      <c r="A14" s="25">
        <f>(A16+A12)/2</f>
        <v>15.03</v>
      </c>
      <c r="B14" s="21">
        <f>(A14+A13)/2</f>
        <v>11.355</v>
      </c>
      <c r="C14" s="21"/>
      <c r="D14" s="20"/>
      <c r="E14" s="23"/>
      <c r="F14" s="21">
        <f>(F16+F12)/2</f>
        <v>19.815000000000001</v>
      </c>
      <c r="G14" s="26">
        <f>(F14+F13)/2</f>
        <v>14.861250000000002</v>
      </c>
      <c r="H14" s="21"/>
      <c r="I14" s="60"/>
    </row>
    <row r="15" spans="1:9">
      <c r="A15" s="25">
        <f>(A16+A14)/2</f>
        <v>22.38</v>
      </c>
      <c r="B15" s="21">
        <f>(A15+A14)/2</f>
        <v>18.704999999999998</v>
      </c>
      <c r="C15" s="21"/>
      <c r="D15" s="22"/>
      <c r="E15" s="23"/>
      <c r="F15" s="21">
        <f>(F16+F14)/2</f>
        <v>29.722500000000004</v>
      </c>
      <c r="G15" s="26">
        <f>(F15+F14)/2</f>
        <v>24.768750000000004</v>
      </c>
      <c r="H15" s="21"/>
      <c r="I15" s="60"/>
    </row>
    <row r="16" spans="1:9" ht="15.75" thickBot="1">
      <c r="A16" s="27">
        <v>29.73</v>
      </c>
      <c r="B16" s="28">
        <f>(A16+A15)/2</f>
        <v>26.055</v>
      </c>
      <c r="C16" s="28">
        <f>A16*D16</f>
        <v>3.5676000000000001</v>
      </c>
      <c r="D16" s="29">
        <v>0.12</v>
      </c>
      <c r="E16" s="30"/>
      <c r="F16" s="31">
        <v>39.630000000000003</v>
      </c>
      <c r="G16" s="32">
        <f>(F16+F15)/2</f>
        <v>34.676250000000003</v>
      </c>
      <c r="H16" s="28">
        <f>F16*I16</f>
        <v>4.7556000000000003</v>
      </c>
      <c r="I16" s="61">
        <v>0.12</v>
      </c>
    </row>
    <row r="17" spans="1:9">
      <c r="A17" s="33"/>
      <c r="B17" s="34"/>
      <c r="C17" s="34"/>
      <c r="D17" s="35"/>
      <c r="F17" s="33"/>
      <c r="G17" s="36"/>
      <c r="H17" s="34"/>
      <c r="I17" s="35"/>
    </row>
    <row r="18" spans="1:9">
      <c r="A18" s="33"/>
      <c r="B18" s="34"/>
      <c r="C18" s="34"/>
      <c r="D18" s="35"/>
      <c r="F18" s="33"/>
      <c r="G18" s="36"/>
      <c r="H18" s="34"/>
      <c r="I18" s="35"/>
    </row>
    <row r="19" spans="1:9" ht="15.75" thickBot="1"/>
    <row r="20" spans="1:9">
      <c r="A20" s="37"/>
      <c r="B20" s="38"/>
      <c r="C20" s="39"/>
      <c r="D20" s="40"/>
      <c r="E20" s="40"/>
      <c r="F20" s="40"/>
      <c r="G20" s="38"/>
      <c r="H20" s="40"/>
      <c r="I20" s="57"/>
    </row>
    <row r="21" spans="1:9">
      <c r="A21" s="18"/>
      <c r="C21" s="36"/>
      <c r="D21" s="36"/>
      <c r="F21" s="36"/>
      <c r="G21" s="41"/>
      <c r="H21" s="36"/>
      <c r="I21" s="58"/>
    </row>
    <row r="22" spans="1:9">
      <c r="A22" s="18" t="s">
        <v>49</v>
      </c>
      <c r="E22" t="s">
        <v>50</v>
      </c>
      <c r="G22" s="36"/>
      <c r="I22" s="58"/>
    </row>
    <row r="23" spans="1:9">
      <c r="A23" s="18"/>
      <c r="I23" s="58"/>
    </row>
    <row r="24" spans="1:9">
      <c r="A24" s="23" t="s">
        <v>55</v>
      </c>
      <c r="B24" s="91" t="s">
        <v>151</v>
      </c>
      <c r="E24" s="23" t="s">
        <v>56</v>
      </c>
      <c r="F24" s="91" t="s">
        <v>136</v>
      </c>
      <c r="I24" s="58"/>
    </row>
    <row r="25" spans="1:9">
      <c r="A25" s="23" t="s">
        <v>53</v>
      </c>
      <c r="B25" s="42" t="s">
        <v>54</v>
      </c>
      <c r="E25" s="23" t="s">
        <v>53</v>
      </c>
      <c r="F25" s="42" t="s">
        <v>54</v>
      </c>
      <c r="I25" s="58"/>
    </row>
    <row r="26" spans="1:9">
      <c r="A26" s="43" t="s">
        <v>39</v>
      </c>
      <c r="B26" s="92" t="s">
        <v>153</v>
      </c>
      <c r="E26" s="43" t="s">
        <v>40</v>
      </c>
      <c r="F26" s="92" t="s">
        <v>146</v>
      </c>
      <c r="I26" s="58"/>
    </row>
    <row r="27" spans="1:9">
      <c r="A27" s="44" t="s">
        <v>41</v>
      </c>
      <c r="B27" s="92" t="s">
        <v>154</v>
      </c>
      <c r="E27" s="44" t="s">
        <v>42</v>
      </c>
      <c r="F27" s="92" t="s">
        <v>185</v>
      </c>
      <c r="I27" s="58"/>
    </row>
    <row r="28" spans="1:9">
      <c r="A28" s="45" t="s">
        <v>43</v>
      </c>
      <c r="B28" s="92" t="s">
        <v>155</v>
      </c>
      <c r="E28" s="45" t="s">
        <v>43</v>
      </c>
      <c r="F28" s="92" t="s">
        <v>186</v>
      </c>
      <c r="I28" s="58"/>
    </row>
    <row r="29" spans="1:9">
      <c r="A29" s="46" t="s">
        <v>45</v>
      </c>
      <c r="B29" s="92" t="s">
        <v>156</v>
      </c>
      <c r="E29" s="46" t="s">
        <v>46</v>
      </c>
      <c r="F29" s="92" t="s">
        <v>187</v>
      </c>
      <c r="I29" s="58"/>
    </row>
    <row r="30" spans="1:9">
      <c r="A30" s="104" t="s">
        <v>47</v>
      </c>
      <c r="B30" s="92" t="s">
        <v>157</v>
      </c>
      <c r="E30" s="104" t="s">
        <v>48</v>
      </c>
      <c r="F30" s="92" t="s">
        <v>188</v>
      </c>
      <c r="I30" s="58"/>
    </row>
    <row r="31" spans="1:9">
      <c r="A31" s="18"/>
      <c r="B31" s="48"/>
      <c r="F31" s="48"/>
      <c r="I31" s="58"/>
    </row>
    <row r="32" spans="1:9">
      <c r="A32" s="18"/>
      <c r="B32" s="48"/>
      <c r="F32" s="48"/>
      <c r="I32" s="58"/>
    </row>
    <row r="33" spans="1:9">
      <c r="A33" s="23" t="s">
        <v>59</v>
      </c>
      <c r="B33" s="91" t="s">
        <v>172</v>
      </c>
      <c r="E33" s="23" t="s">
        <v>60</v>
      </c>
      <c r="F33" s="91" t="s">
        <v>61</v>
      </c>
      <c r="I33" s="58"/>
    </row>
    <row r="34" spans="1:9">
      <c r="A34" s="23" t="s">
        <v>53</v>
      </c>
      <c r="B34" s="42" t="s">
        <v>54</v>
      </c>
      <c r="E34" s="23" t="s">
        <v>53</v>
      </c>
      <c r="F34" s="42" t="s">
        <v>54</v>
      </c>
      <c r="I34" s="58"/>
    </row>
    <row r="35" spans="1:9">
      <c r="A35" s="43" t="s">
        <v>39</v>
      </c>
      <c r="B35" s="92" t="s">
        <v>175</v>
      </c>
      <c r="E35" s="43" t="s">
        <v>40</v>
      </c>
      <c r="F35" s="92" t="s">
        <v>189</v>
      </c>
      <c r="I35" s="58"/>
    </row>
    <row r="36" spans="1:9">
      <c r="A36" s="44" t="s">
        <v>41</v>
      </c>
      <c r="B36" s="92" t="s">
        <v>176</v>
      </c>
      <c r="E36" s="44" t="s">
        <v>42</v>
      </c>
      <c r="F36" s="92" t="s">
        <v>190</v>
      </c>
      <c r="I36" s="58"/>
    </row>
    <row r="37" spans="1:9">
      <c r="A37" s="45" t="s">
        <v>43</v>
      </c>
      <c r="B37" s="92" t="s">
        <v>177</v>
      </c>
      <c r="E37" s="45" t="s">
        <v>43</v>
      </c>
      <c r="F37" s="92" t="s">
        <v>191</v>
      </c>
      <c r="I37" s="58"/>
    </row>
    <row r="38" spans="1:9">
      <c r="A38" s="46" t="s">
        <v>45</v>
      </c>
      <c r="B38" s="92" t="s">
        <v>178</v>
      </c>
      <c r="E38" s="46" t="s">
        <v>46</v>
      </c>
      <c r="F38" s="92" t="s">
        <v>192</v>
      </c>
      <c r="I38" s="58"/>
    </row>
    <row r="39" spans="1:9">
      <c r="A39" s="104" t="s">
        <v>47</v>
      </c>
      <c r="B39" s="92" t="s">
        <v>179</v>
      </c>
      <c r="E39" s="104" t="s">
        <v>48</v>
      </c>
      <c r="F39" s="92" t="s">
        <v>193</v>
      </c>
      <c r="I39" s="58"/>
    </row>
    <row r="40" spans="1:9">
      <c r="A40" s="18"/>
      <c r="B40" s="48"/>
      <c r="F40" s="48"/>
      <c r="I40" s="58"/>
    </row>
    <row r="41" spans="1:9">
      <c r="A41" s="18"/>
      <c r="B41" s="48"/>
      <c r="F41" s="48"/>
      <c r="I41" s="58"/>
    </row>
    <row r="42" spans="1:9">
      <c r="A42" s="23" t="s">
        <v>72</v>
      </c>
      <c r="B42" s="91" t="s">
        <v>173</v>
      </c>
      <c r="E42" s="23" t="s">
        <v>51</v>
      </c>
      <c r="F42" s="91" t="s">
        <v>174</v>
      </c>
      <c r="I42" s="58"/>
    </row>
    <row r="43" spans="1:9">
      <c r="A43" s="23" t="s">
        <v>53</v>
      </c>
      <c r="B43" s="42" t="s">
        <v>54</v>
      </c>
      <c r="E43" s="23" t="s">
        <v>53</v>
      </c>
      <c r="F43" s="42" t="s">
        <v>54</v>
      </c>
      <c r="I43" s="58"/>
    </row>
    <row r="44" spans="1:9">
      <c r="A44" s="43" t="s">
        <v>39</v>
      </c>
      <c r="B44" s="92" t="s">
        <v>180</v>
      </c>
      <c r="E44" s="43" t="s">
        <v>40</v>
      </c>
      <c r="F44" s="92" t="s">
        <v>58</v>
      </c>
      <c r="I44" s="58"/>
    </row>
    <row r="45" spans="1:9">
      <c r="A45" s="44" t="s">
        <v>41</v>
      </c>
      <c r="B45" s="92" t="s">
        <v>181</v>
      </c>
      <c r="E45" s="44" t="s">
        <v>42</v>
      </c>
      <c r="F45" s="92" t="s">
        <v>194</v>
      </c>
      <c r="I45" s="58"/>
    </row>
    <row r="46" spans="1:9">
      <c r="A46" s="45" t="s">
        <v>43</v>
      </c>
      <c r="B46" s="92" t="s">
        <v>182</v>
      </c>
      <c r="E46" s="45" t="s">
        <v>43</v>
      </c>
      <c r="F46" s="92" t="s">
        <v>195</v>
      </c>
      <c r="I46" s="58"/>
    </row>
    <row r="47" spans="1:9">
      <c r="A47" s="46" t="s">
        <v>45</v>
      </c>
      <c r="B47" s="92" t="s">
        <v>183</v>
      </c>
      <c r="E47" s="46" t="s">
        <v>46</v>
      </c>
      <c r="F47" s="92" t="s">
        <v>196</v>
      </c>
      <c r="I47" s="58"/>
    </row>
    <row r="48" spans="1:9">
      <c r="A48" s="104" t="s">
        <v>47</v>
      </c>
      <c r="B48" s="92" t="s">
        <v>184</v>
      </c>
      <c r="E48" s="104" t="s">
        <v>48</v>
      </c>
      <c r="F48" s="92" t="s">
        <v>197</v>
      </c>
      <c r="I48" s="58"/>
    </row>
    <row r="49" spans="1:9" ht="15.75" thickBot="1">
      <c r="A49" s="49"/>
      <c r="B49" s="50"/>
      <c r="C49" s="50"/>
      <c r="D49" s="50"/>
      <c r="E49" s="50"/>
      <c r="F49" s="50"/>
      <c r="G49" s="50"/>
      <c r="H49" s="50"/>
      <c r="I49" s="64"/>
    </row>
    <row r="52" spans="1:9" ht="15.75" thickBot="1"/>
    <row r="53" spans="1:9" ht="15.75" thickBot="1">
      <c r="A53" s="137" t="s">
        <v>73</v>
      </c>
      <c r="B53" s="138"/>
      <c r="C53" s="139" t="s">
        <v>33</v>
      </c>
      <c r="D53" s="140"/>
      <c r="E53" s="140"/>
      <c r="F53" s="140"/>
      <c r="G53" s="141"/>
      <c r="H53" s="40"/>
      <c r="I53" s="57"/>
    </row>
    <row r="54" spans="1:9" ht="26.25" thickBot="1">
      <c r="A54" s="137" t="s">
        <v>74</v>
      </c>
      <c r="B54" s="138"/>
      <c r="C54" s="51" t="s">
        <v>40</v>
      </c>
      <c r="D54" s="51" t="s">
        <v>42</v>
      </c>
      <c r="E54" s="51" t="s">
        <v>44</v>
      </c>
      <c r="F54" s="51" t="s">
        <v>46</v>
      </c>
      <c r="G54" s="51" t="s">
        <v>75</v>
      </c>
      <c r="I54" s="58"/>
    </row>
    <row r="55" spans="1:9" ht="26.25" thickBot="1">
      <c r="A55" s="130" t="s">
        <v>32</v>
      </c>
      <c r="B55" s="51" t="s">
        <v>39</v>
      </c>
      <c r="C55" s="52" t="s">
        <v>76</v>
      </c>
      <c r="D55" s="53" t="s">
        <v>77</v>
      </c>
      <c r="E55" s="53" t="s">
        <v>77</v>
      </c>
      <c r="F55" s="54" t="s">
        <v>78</v>
      </c>
      <c r="G55" s="54" t="s">
        <v>78</v>
      </c>
      <c r="I55" s="58"/>
    </row>
    <row r="56" spans="1:9" ht="26.25" thickBot="1">
      <c r="A56" s="131"/>
      <c r="B56" s="51" t="s">
        <v>41</v>
      </c>
      <c r="C56" s="52" t="s">
        <v>76</v>
      </c>
      <c r="D56" s="53" t="s">
        <v>77</v>
      </c>
      <c r="E56" s="54" t="s">
        <v>78</v>
      </c>
      <c r="F56" s="55" t="s">
        <v>79</v>
      </c>
      <c r="G56" s="55" t="s">
        <v>79</v>
      </c>
      <c r="I56" s="58"/>
    </row>
    <row r="57" spans="1:9" ht="15.75" thickBot="1">
      <c r="A57" s="131"/>
      <c r="B57" s="51" t="s">
        <v>43</v>
      </c>
      <c r="C57" s="53" t="s">
        <v>77</v>
      </c>
      <c r="D57" s="53" t="s">
        <v>77</v>
      </c>
      <c r="E57" s="54" t="s">
        <v>78</v>
      </c>
      <c r="F57" s="55" t="s">
        <v>79</v>
      </c>
      <c r="G57" s="55" t="s">
        <v>79</v>
      </c>
      <c r="I57" s="58"/>
    </row>
    <row r="58" spans="1:9" ht="26.25" thickBot="1">
      <c r="A58" s="131"/>
      <c r="B58" s="51" t="s">
        <v>45</v>
      </c>
      <c r="C58" s="53" t="s">
        <v>77</v>
      </c>
      <c r="D58" s="54" t="s">
        <v>78</v>
      </c>
      <c r="E58" s="55" t="s">
        <v>79</v>
      </c>
      <c r="F58" s="55" t="s">
        <v>79</v>
      </c>
      <c r="G58" s="56" t="s">
        <v>80</v>
      </c>
      <c r="I58" s="58"/>
    </row>
    <row r="59" spans="1:9" ht="26.25" thickBot="1">
      <c r="A59" s="132"/>
      <c r="B59" s="51" t="s">
        <v>47</v>
      </c>
      <c r="C59" s="54" t="s">
        <v>78</v>
      </c>
      <c r="D59" s="54" t="s">
        <v>78</v>
      </c>
      <c r="E59" s="55" t="s">
        <v>79</v>
      </c>
      <c r="F59" s="56" t="s">
        <v>80</v>
      </c>
      <c r="G59" s="56" t="s">
        <v>80</v>
      </c>
      <c r="H59" s="50"/>
      <c r="I59" s="64"/>
    </row>
  </sheetData>
  <mergeCells count="7">
    <mergeCell ref="A55:A59"/>
    <mergeCell ref="A1:C1"/>
    <mergeCell ref="D1:F1"/>
    <mergeCell ref="G1:G2"/>
    <mergeCell ref="A53:B53"/>
    <mergeCell ref="C53:G53"/>
    <mergeCell ref="A54:B54"/>
  </mergeCells>
  <pageMargins left="0.511811024" right="0.511811024" top="0.78740157499999996" bottom="0.78740157499999996" header="0.31496062000000002" footer="0.31496062000000002"/>
  <pageSetup paperSize="9" scale="91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7"/>
  <sheetViews>
    <sheetView zoomScale="85" zoomScaleNormal="85" zoomScaleSheetLayoutView="110" workbookViewId="0">
      <pane ySplit="2" topLeftCell="A3" activePane="bottomLeft" state="frozen"/>
      <selection pane="bottomLeft" activeCell="M10" sqref="M10"/>
    </sheetView>
  </sheetViews>
  <sheetFormatPr defaultColWidth="81.140625" defaultRowHeight="15.75"/>
  <cols>
    <col min="1" max="1" width="24.5703125" style="67" customWidth="1"/>
    <col min="2" max="2" width="3.5703125" style="68" customWidth="1"/>
    <col min="3" max="3" width="70.85546875" style="65" customWidth="1"/>
    <col min="4" max="4" width="3.5703125" style="69" hidden="1" customWidth="1"/>
    <col min="5" max="5" width="5.42578125" style="65" customWidth="1"/>
    <col min="6" max="6" width="4.28515625" style="65" customWidth="1"/>
    <col min="7" max="7" width="5.28515625" style="70" customWidth="1"/>
    <col min="8" max="8" width="4.140625" style="66" customWidth="1"/>
    <col min="9" max="9" width="5.5703125" style="66" customWidth="1"/>
    <col min="10" max="10" width="5.140625" style="66" customWidth="1"/>
    <col min="11" max="11" width="7.140625" style="71" customWidth="1"/>
    <col min="12" max="12" width="11" style="72" customWidth="1"/>
    <col min="13" max="15" width="81.140625" style="66"/>
    <col min="16" max="16384" width="81.140625" style="65"/>
  </cols>
  <sheetData>
    <row r="1" spans="1:12">
      <c r="A1" s="157" t="s">
        <v>0</v>
      </c>
      <c r="B1" s="157" t="s">
        <v>1</v>
      </c>
      <c r="C1" s="152" t="s">
        <v>2</v>
      </c>
      <c r="D1" s="152" t="s">
        <v>3</v>
      </c>
      <c r="E1" s="152" t="s">
        <v>4</v>
      </c>
      <c r="F1" s="152"/>
      <c r="G1" s="152"/>
      <c r="H1" s="152" t="s">
        <v>5</v>
      </c>
      <c r="I1" s="152"/>
      <c r="J1" s="152"/>
      <c r="K1" s="157" t="s">
        <v>6</v>
      </c>
      <c r="L1" s="67"/>
    </row>
    <row r="2" spans="1:12">
      <c r="A2" s="157"/>
      <c r="B2" s="157"/>
      <c r="C2" s="152"/>
      <c r="D2" s="152"/>
      <c r="E2" s="74" t="s">
        <v>5</v>
      </c>
      <c r="F2" s="74" t="s">
        <v>7</v>
      </c>
      <c r="G2" s="74" t="s">
        <v>8</v>
      </c>
      <c r="H2" s="74" t="s">
        <v>9</v>
      </c>
      <c r="I2" s="74" t="s">
        <v>10</v>
      </c>
      <c r="J2" s="74" t="s">
        <v>11</v>
      </c>
      <c r="K2" s="157"/>
      <c r="L2" s="157" t="s">
        <v>12</v>
      </c>
    </row>
    <row r="3" spans="1:12">
      <c r="A3" s="157"/>
      <c r="B3" s="157"/>
      <c r="C3" s="152"/>
      <c r="D3" s="152"/>
      <c r="E3" s="74" t="s">
        <v>13</v>
      </c>
      <c r="F3" s="74" t="s">
        <v>14</v>
      </c>
      <c r="G3" s="74" t="s">
        <v>15</v>
      </c>
      <c r="H3" s="74" t="s">
        <v>16</v>
      </c>
      <c r="I3" s="74" t="s">
        <v>17</v>
      </c>
      <c r="J3" s="74" t="s">
        <v>18</v>
      </c>
      <c r="K3" s="157"/>
      <c r="L3" s="157"/>
    </row>
    <row r="4" spans="1:12">
      <c r="A4" s="157"/>
      <c r="B4" s="157"/>
      <c r="C4" s="152"/>
      <c r="D4" s="152"/>
      <c r="E4" s="74">
        <v>0.33</v>
      </c>
      <c r="F4" s="74">
        <v>0.5</v>
      </c>
      <c r="G4" s="74">
        <v>0.25</v>
      </c>
      <c r="H4" s="74">
        <v>1</v>
      </c>
      <c r="I4" s="74">
        <v>0.33</v>
      </c>
      <c r="J4" s="74">
        <v>0.5</v>
      </c>
      <c r="K4" s="157"/>
      <c r="L4" s="157"/>
    </row>
    <row r="5" spans="1:12">
      <c r="A5" s="157"/>
      <c r="B5" s="157"/>
      <c r="C5" s="152"/>
      <c r="D5" s="152"/>
      <c r="E5" s="152">
        <f>E4+F4+G4</f>
        <v>1.08</v>
      </c>
      <c r="F5" s="152"/>
      <c r="G5" s="152"/>
      <c r="H5" s="152">
        <f>H4+I4+J4</f>
        <v>1.83</v>
      </c>
      <c r="I5" s="152"/>
      <c r="J5" s="152"/>
      <c r="K5" s="157"/>
      <c r="L5" s="157"/>
    </row>
    <row r="6" spans="1:12">
      <c r="A6" s="161" t="s">
        <v>166</v>
      </c>
      <c r="B6" s="103">
        <v>1</v>
      </c>
      <c r="C6" s="102" t="s">
        <v>165</v>
      </c>
      <c r="D6" s="78"/>
      <c r="E6" s="101">
        <v>1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88">
        <f t="shared" ref="K6:K36" si="0">(E6*0.33)+(F6*0.5)+(G6*0.25)+(H6*1)+(I6*0.33)+(J6*0.5)</f>
        <v>0.33</v>
      </c>
      <c r="L6" s="159">
        <f>SUM(K6:K12)</f>
        <v>6.8100000000000005</v>
      </c>
    </row>
    <row r="7" spans="1:12">
      <c r="A7" s="144"/>
      <c r="B7" s="86">
        <v>2</v>
      </c>
      <c r="C7" s="81" t="s">
        <v>19</v>
      </c>
      <c r="D7" s="87">
        <v>1</v>
      </c>
      <c r="E7" s="87">
        <v>1</v>
      </c>
      <c r="F7" s="87">
        <v>1</v>
      </c>
      <c r="G7" s="87">
        <v>0</v>
      </c>
      <c r="H7" s="86">
        <v>0</v>
      </c>
      <c r="I7" s="86">
        <v>0</v>
      </c>
      <c r="J7" s="86">
        <v>0</v>
      </c>
      <c r="K7" s="88">
        <f t="shared" si="0"/>
        <v>0.83000000000000007</v>
      </c>
      <c r="L7" s="160"/>
    </row>
    <row r="8" spans="1:12">
      <c r="A8" s="144"/>
      <c r="B8" s="86">
        <v>3</v>
      </c>
      <c r="C8" s="81" t="s">
        <v>81</v>
      </c>
      <c r="D8" s="87">
        <v>1</v>
      </c>
      <c r="E8" s="87">
        <f t="shared" ref="E8:E28" si="1">D8</f>
        <v>1</v>
      </c>
      <c r="F8" s="87">
        <v>1</v>
      </c>
      <c r="G8" s="87">
        <v>0</v>
      </c>
      <c r="H8" s="86">
        <v>0</v>
      </c>
      <c r="I8" s="86">
        <v>0</v>
      </c>
      <c r="J8" s="86">
        <v>0</v>
      </c>
      <c r="K8" s="88">
        <f t="shared" si="0"/>
        <v>0.83000000000000007</v>
      </c>
      <c r="L8" s="160"/>
    </row>
    <row r="9" spans="1:12">
      <c r="A9" s="144"/>
      <c r="B9" s="103">
        <v>4</v>
      </c>
      <c r="C9" s="81" t="s">
        <v>82</v>
      </c>
      <c r="D9" s="87">
        <v>1</v>
      </c>
      <c r="E9" s="87">
        <f t="shared" si="1"/>
        <v>1</v>
      </c>
      <c r="F9" s="87">
        <v>1</v>
      </c>
      <c r="G9" s="87">
        <v>0</v>
      </c>
      <c r="H9" s="86">
        <v>0</v>
      </c>
      <c r="I9" s="86">
        <v>0</v>
      </c>
      <c r="J9" s="86">
        <v>0</v>
      </c>
      <c r="K9" s="88">
        <f t="shared" si="0"/>
        <v>0.83000000000000007</v>
      </c>
      <c r="L9" s="160"/>
    </row>
    <row r="10" spans="1:12" ht="31.5">
      <c r="A10" s="144"/>
      <c r="B10" s="86">
        <v>5</v>
      </c>
      <c r="C10" s="81" t="s">
        <v>83</v>
      </c>
      <c r="D10" s="87">
        <v>1</v>
      </c>
      <c r="E10" s="87">
        <f t="shared" si="1"/>
        <v>1</v>
      </c>
      <c r="F10" s="87">
        <v>1</v>
      </c>
      <c r="G10" s="87">
        <v>0</v>
      </c>
      <c r="H10" s="86">
        <f t="shared" ref="H10" si="2">D10</f>
        <v>1</v>
      </c>
      <c r="I10" s="86">
        <v>0</v>
      </c>
      <c r="J10" s="86">
        <f t="shared" ref="J10:J28" si="3">D10</f>
        <v>1</v>
      </c>
      <c r="K10" s="88">
        <f t="shared" si="0"/>
        <v>2.33</v>
      </c>
      <c r="L10" s="160"/>
    </row>
    <row r="11" spans="1:12">
      <c r="A11" s="144"/>
      <c r="B11" s="86">
        <v>6</v>
      </c>
      <c r="C11" s="81" t="s">
        <v>84</v>
      </c>
      <c r="D11" s="87">
        <v>1</v>
      </c>
      <c r="E11" s="87">
        <f t="shared" si="1"/>
        <v>1</v>
      </c>
      <c r="F11" s="87">
        <f>D11</f>
        <v>1</v>
      </c>
      <c r="G11" s="87">
        <v>0</v>
      </c>
      <c r="H11" s="86">
        <v>0</v>
      </c>
      <c r="I11" s="86">
        <v>0</v>
      </c>
      <c r="J11" s="86">
        <v>0</v>
      </c>
      <c r="K11" s="88">
        <f t="shared" ref="K11:K22" si="4">(E11*0.33)+(F11*0.5)+(G11*0.25)+(H11*1)+(I11*0.33)+(J11*0.5)</f>
        <v>0.83000000000000007</v>
      </c>
      <c r="L11" s="160"/>
    </row>
    <row r="12" spans="1:12">
      <c r="A12" s="145"/>
      <c r="B12" s="103">
        <v>7</v>
      </c>
      <c r="C12" s="81" t="s">
        <v>85</v>
      </c>
      <c r="D12" s="87">
        <v>1</v>
      </c>
      <c r="E12" s="87">
        <v>1</v>
      </c>
      <c r="F12" s="87">
        <f>D12</f>
        <v>1</v>
      </c>
      <c r="G12" s="87">
        <v>0</v>
      </c>
      <c r="H12" s="86">
        <v>0</v>
      </c>
      <c r="I12" s="86">
        <v>0</v>
      </c>
      <c r="J12" s="86">
        <v>0</v>
      </c>
      <c r="K12" s="88">
        <f t="shared" si="4"/>
        <v>0.83000000000000007</v>
      </c>
      <c r="L12" s="162"/>
    </row>
    <row r="13" spans="1:12">
      <c r="A13" s="110" t="s">
        <v>20</v>
      </c>
      <c r="B13" s="86">
        <v>8</v>
      </c>
      <c r="C13" s="81" t="s">
        <v>86</v>
      </c>
      <c r="D13" s="87">
        <v>1</v>
      </c>
      <c r="E13" s="87">
        <f>D13</f>
        <v>1</v>
      </c>
      <c r="F13" s="87">
        <v>1</v>
      </c>
      <c r="G13" s="87">
        <v>0</v>
      </c>
      <c r="H13" s="86">
        <v>0</v>
      </c>
      <c r="I13" s="86">
        <v>0</v>
      </c>
      <c r="J13" s="86">
        <f t="shared" ref="J13" si="5">D13</f>
        <v>1</v>
      </c>
      <c r="K13" s="88">
        <f t="shared" si="4"/>
        <v>1.33</v>
      </c>
      <c r="L13" s="158">
        <f>SUM(K13:K21)</f>
        <v>17.97</v>
      </c>
    </row>
    <row r="14" spans="1:12">
      <c r="A14" s="110"/>
      <c r="B14" s="86">
        <v>9</v>
      </c>
      <c r="C14" s="81" t="s">
        <v>87</v>
      </c>
      <c r="D14" s="87">
        <v>1</v>
      </c>
      <c r="E14" s="87">
        <f>D14</f>
        <v>1</v>
      </c>
      <c r="F14" s="87">
        <v>1</v>
      </c>
      <c r="G14" s="87">
        <f>D14</f>
        <v>1</v>
      </c>
      <c r="H14" s="86">
        <v>1</v>
      </c>
      <c r="I14" s="86">
        <f>D14</f>
        <v>1</v>
      </c>
      <c r="J14" s="86">
        <v>1</v>
      </c>
      <c r="K14" s="88">
        <f t="shared" si="4"/>
        <v>2.91</v>
      </c>
      <c r="L14" s="158"/>
    </row>
    <row r="15" spans="1:12">
      <c r="A15" s="110"/>
      <c r="B15" s="103">
        <v>10</v>
      </c>
      <c r="C15" s="81" t="s">
        <v>88</v>
      </c>
      <c r="D15" s="87">
        <v>1</v>
      </c>
      <c r="E15" s="87">
        <v>0</v>
      </c>
      <c r="F15" s="87">
        <f t="shared" ref="F15:F21" si="6">D15</f>
        <v>1</v>
      </c>
      <c r="G15" s="87">
        <v>0</v>
      </c>
      <c r="H15" s="86">
        <v>0</v>
      </c>
      <c r="I15" s="86">
        <v>0</v>
      </c>
      <c r="J15" s="86">
        <v>0</v>
      </c>
      <c r="K15" s="88">
        <f t="shared" si="4"/>
        <v>0.5</v>
      </c>
      <c r="L15" s="158"/>
    </row>
    <row r="16" spans="1:12">
      <c r="A16" s="110"/>
      <c r="B16" s="86">
        <v>11</v>
      </c>
      <c r="C16" s="81" t="s">
        <v>89</v>
      </c>
      <c r="D16" s="87">
        <v>1</v>
      </c>
      <c r="E16" s="87">
        <v>0</v>
      </c>
      <c r="F16" s="87">
        <f t="shared" si="6"/>
        <v>1</v>
      </c>
      <c r="G16" s="87">
        <v>0</v>
      </c>
      <c r="H16" s="86">
        <v>0</v>
      </c>
      <c r="I16" s="86">
        <v>0</v>
      </c>
      <c r="J16" s="86">
        <v>0</v>
      </c>
      <c r="K16" s="88">
        <f t="shared" si="4"/>
        <v>0.5</v>
      </c>
      <c r="L16" s="158"/>
    </row>
    <row r="17" spans="1:12" ht="31.5">
      <c r="A17" s="110"/>
      <c r="B17" s="86">
        <v>12</v>
      </c>
      <c r="C17" s="81" t="s">
        <v>90</v>
      </c>
      <c r="D17" s="87">
        <v>1</v>
      </c>
      <c r="E17" s="87">
        <f t="shared" ref="E17" si="7">D17</f>
        <v>1</v>
      </c>
      <c r="F17" s="87">
        <f t="shared" si="6"/>
        <v>1</v>
      </c>
      <c r="G17" s="87">
        <v>0</v>
      </c>
      <c r="H17" s="86">
        <v>1</v>
      </c>
      <c r="I17" s="86">
        <v>0</v>
      </c>
      <c r="J17" s="86">
        <v>1</v>
      </c>
      <c r="K17" s="88">
        <f t="shared" si="4"/>
        <v>2.33</v>
      </c>
      <c r="L17" s="158"/>
    </row>
    <row r="18" spans="1:12">
      <c r="A18" s="110"/>
      <c r="B18" s="103">
        <v>13</v>
      </c>
      <c r="C18" s="81" t="s">
        <v>91</v>
      </c>
      <c r="D18" s="87"/>
      <c r="E18" s="87">
        <v>1</v>
      </c>
      <c r="F18" s="87">
        <v>1</v>
      </c>
      <c r="G18" s="87">
        <v>1</v>
      </c>
      <c r="H18" s="86">
        <v>1</v>
      </c>
      <c r="I18" s="86">
        <v>0</v>
      </c>
      <c r="J18" s="86">
        <v>1</v>
      </c>
      <c r="K18" s="88">
        <f t="shared" si="4"/>
        <v>2.58</v>
      </c>
      <c r="L18" s="158"/>
    </row>
    <row r="19" spans="1:12">
      <c r="A19" s="110"/>
      <c r="B19" s="86">
        <v>14</v>
      </c>
      <c r="C19" s="82" t="s">
        <v>92</v>
      </c>
      <c r="D19" s="87">
        <v>1</v>
      </c>
      <c r="E19" s="87">
        <v>1</v>
      </c>
      <c r="F19" s="87">
        <v>1</v>
      </c>
      <c r="G19" s="87">
        <v>0</v>
      </c>
      <c r="H19" s="87">
        <v>1</v>
      </c>
      <c r="I19" s="87">
        <v>0</v>
      </c>
      <c r="J19" s="87">
        <f>D19</f>
        <v>1</v>
      </c>
      <c r="K19" s="88">
        <f t="shared" si="4"/>
        <v>2.33</v>
      </c>
      <c r="L19" s="158"/>
    </row>
    <row r="20" spans="1:12">
      <c r="A20" s="110"/>
      <c r="B20" s="86">
        <v>15</v>
      </c>
      <c r="C20" s="82" t="s">
        <v>93</v>
      </c>
      <c r="D20" s="87"/>
      <c r="E20" s="87">
        <v>1</v>
      </c>
      <c r="F20" s="87">
        <v>1</v>
      </c>
      <c r="G20" s="87">
        <v>1</v>
      </c>
      <c r="H20" s="87">
        <v>1</v>
      </c>
      <c r="I20" s="87">
        <v>0</v>
      </c>
      <c r="J20" s="87">
        <v>1</v>
      </c>
      <c r="K20" s="88">
        <f t="shared" si="4"/>
        <v>2.58</v>
      </c>
      <c r="L20" s="158"/>
    </row>
    <row r="21" spans="1:12" ht="31.5">
      <c r="A21" s="110"/>
      <c r="B21" s="103">
        <v>16</v>
      </c>
      <c r="C21" s="81" t="s">
        <v>94</v>
      </c>
      <c r="D21" s="87">
        <v>1</v>
      </c>
      <c r="E21" s="87">
        <v>1</v>
      </c>
      <c r="F21" s="87">
        <f t="shared" si="6"/>
        <v>1</v>
      </c>
      <c r="G21" s="87">
        <f>D21</f>
        <v>1</v>
      </c>
      <c r="H21" s="86">
        <v>1</v>
      </c>
      <c r="I21" s="86">
        <f>D21</f>
        <v>1</v>
      </c>
      <c r="J21" s="86">
        <v>1</v>
      </c>
      <c r="K21" s="88">
        <f t="shared" si="4"/>
        <v>2.91</v>
      </c>
      <c r="L21" s="158"/>
    </row>
    <row r="22" spans="1:12" ht="31.5">
      <c r="A22" s="111" t="s">
        <v>21</v>
      </c>
      <c r="B22" s="86">
        <v>17</v>
      </c>
      <c r="C22" s="81" t="s">
        <v>95</v>
      </c>
      <c r="D22" s="87">
        <v>1</v>
      </c>
      <c r="E22" s="87">
        <v>1</v>
      </c>
      <c r="F22" s="87">
        <v>1</v>
      </c>
      <c r="G22" s="87">
        <v>0</v>
      </c>
      <c r="H22" s="86">
        <v>1</v>
      </c>
      <c r="I22" s="86">
        <v>0</v>
      </c>
      <c r="J22" s="86">
        <f>D22</f>
        <v>1</v>
      </c>
      <c r="K22" s="88">
        <f t="shared" si="4"/>
        <v>2.33</v>
      </c>
      <c r="L22" s="159">
        <f>SUM(K22:K28)</f>
        <v>17.14</v>
      </c>
    </row>
    <row r="23" spans="1:12">
      <c r="A23" s="112"/>
      <c r="B23" s="86">
        <v>18</v>
      </c>
      <c r="C23" s="82" t="s">
        <v>96</v>
      </c>
      <c r="D23" s="87">
        <v>1</v>
      </c>
      <c r="E23" s="87">
        <f t="shared" si="1"/>
        <v>1</v>
      </c>
      <c r="F23" s="87">
        <v>1</v>
      </c>
      <c r="G23" s="87">
        <v>0</v>
      </c>
      <c r="H23" s="86">
        <f>D23</f>
        <v>1</v>
      </c>
      <c r="I23" s="86">
        <v>0</v>
      </c>
      <c r="J23" s="86">
        <f t="shared" si="3"/>
        <v>1</v>
      </c>
      <c r="K23" s="88">
        <f t="shared" si="0"/>
        <v>2.33</v>
      </c>
      <c r="L23" s="160"/>
    </row>
    <row r="24" spans="1:12" ht="31.5">
      <c r="A24" s="112"/>
      <c r="B24" s="103">
        <v>19</v>
      </c>
      <c r="C24" s="83" t="s">
        <v>97</v>
      </c>
      <c r="D24" s="87">
        <v>1</v>
      </c>
      <c r="E24" s="87">
        <f t="shared" si="1"/>
        <v>1</v>
      </c>
      <c r="F24" s="87">
        <v>1</v>
      </c>
      <c r="G24" s="87">
        <v>0</v>
      </c>
      <c r="H24" s="86">
        <v>1</v>
      </c>
      <c r="I24" s="86">
        <v>0</v>
      </c>
      <c r="J24" s="86">
        <v>1</v>
      </c>
      <c r="K24" s="88">
        <f t="shared" si="0"/>
        <v>2.33</v>
      </c>
      <c r="L24" s="160"/>
    </row>
    <row r="25" spans="1:12">
      <c r="A25" s="112"/>
      <c r="B25" s="86">
        <v>20</v>
      </c>
      <c r="C25" s="82" t="s">
        <v>98</v>
      </c>
      <c r="D25" s="87">
        <v>1</v>
      </c>
      <c r="E25" s="87">
        <f t="shared" si="1"/>
        <v>1</v>
      </c>
      <c r="F25" s="87">
        <f t="shared" ref="F25:F35" si="8">D25</f>
        <v>1</v>
      </c>
      <c r="G25" s="87">
        <v>0</v>
      </c>
      <c r="H25" s="87">
        <f>D25</f>
        <v>1</v>
      </c>
      <c r="I25" s="87">
        <v>0</v>
      </c>
      <c r="J25" s="86">
        <v>1</v>
      </c>
      <c r="K25" s="88">
        <f t="shared" si="0"/>
        <v>2.33</v>
      </c>
      <c r="L25" s="160"/>
    </row>
    <row r="26" spans="1:12">
      <c r="A26" s="112"/>
      <c r="B26" s="86">
        <v>21</v>
      </c>
      <c r="C26" s="82" t="s">
        <v>99</v>
      </c>
      <c r="D26" s="87">
        <v>1</v>
      </c>
      <c r="E26" s="87">
        <f t="shared" si="1"/>
        <v>1</v>
      </c>
      <c r="F26" s="87">
        <f t="shared" si="8"/>
        <v>1</v>
      </c>
      <c r="G26" s="87">
        <v>0</v>
      </c>
      <c r="H26" s="87">
        <f t="shared" ref="H26" si="9">D26</f>
        <v>1</v>
      </c>
      <c r="I26" s="87">
        <v>0</v>
      </c>
      <c r="J26" s="86">
        <v>1</v>
      </c>
      <c r="K26" s="88">
        <f t="shared" si="0"/>
        <v>2.33</v>
      </c>
      <c r="L26" s="160"/>
    </row>
    <row r="27" spans="1:12">
      <c r="A27" s="112"/>
      <c r="B27" s="103">
        <v>22</v>
      </c>
      <c r="C27" s="89" t="s">
        <v>100</v>
      </c>
      <c r="D27" s="87">
        <v>1</v>
      </c>
      <c r="E27" s="87">
        <f t="shared" si="1"/>
        <v>1</v>
      </c>
      <c r="F27" s="87">
        <f t="shared" si="8"/>
        <v>1</v>
      </c>
      <c r="G27" s="87">
        <v>1</v>
      </c>
      <c r="H27" s="87">
        <v>1</v>
      </c>
      <c r="I27" s="86">
        <v>0</v>
      </c>
      <c r="J27" s="86">
        <v>1</v>
      </c>
      <c r="K27" s="88">
        <f t="shared" si="0"/>
        <v>2.58</v>
      </c>
      <c r="L27" s="160"/>
    </row>
    <row r="28" spans="1:12">
      <c r="A28" s="112"/>
      <c r="B28" s="86">
        <v>23</v>
      </c>
      <c r="C28" s="81" t="s">
        <v>101</v>
      </c>
      <c r="D28" s="87">
        <v>1</v>
      </c>
      <c r="E28" s="87">
        <f t="shared" si="1"/>
        <v>1</v>
      </c>
      <c r="F28" s="87">
        <f t="shared" si="8"/>
        <v>1</v>
      </c>
      <c r="G28" s="87">
        <v>1</v>
      </c>
      <c r="H28" s="86">
        <v>1</v>
      </c>
      <c r="I28" s="86">
        <f>D28</f>
        <v>1</v>
      </c>
      <c r="J28" s="86">
        <f t="shared" si="3"/>
        <v>1</v>
      </c>
      <c r="K28" s="88">
        <f t="shared" si="0"/>
        <v>2.91</v>
      </c>
      <c r="L28" s="160"/>
    </row>
    <row r="29" spans="1:12">
      <c r="A29" s="110" t="s">
        <v>22</v>
      </c>
      <c r="B29" s="86">
        <v>24</v>
      </c>
      <c r="C29" s="82" t="s">
        <v>134</v>
      </c>
      <c r="D29" s="87">
        <v>1</v>
      </c>
      <c r="E29" s="87">
        <v>1</v>
      </c>
      <c r="F29" s="87">
        <f t="shared" si="8"/>
        <v>1</v>
      </c>
      <c r="G29" s="87">
        <v>1</v>
      </c>
      <c r="H29" s="86">
        <v>1</v>
      </c>
      <c r="I29" s="87">
        <v>1</v>
      </c>
      <c r="J29" s="86">
        <v>1</v>
      </c>
      <c r="K29" s="88">
        <f t="shared" ref="K29:K31" si="10">(E29*0.33)+(F29*0.5)+(G29*0.25)+(H29*1)+(I29*0.33)+(J29*0.5)</f>
        <v>2.91</v>
      </c>
      <c r="L29" s="158">
        <f>SUM(K29:K30)</f>
        <v>4.49</v>
      </c>
    </row>
    <row r="30" spans="1:12">
      <c r="A30" s="110"/>
      <c r="B30" s="103">
        <v>25</v>
      </c>
      <c r="C30" s="81" t="s">
        <v>23</v>
      </c>
      <c r="D30" s="87">
        <v>1</v>
      </c>
      <c r="E30" s="87">
        <v>0</v>
      </c>
      <c r="F30" s="87">
        <f t="shared" si="8"/>
        <v>1</v>
      </c>
      <c r="G30" s="87">
        <v>1</v>
      </c>
      <c r="H30" s="86">
        <v>0</v>
      </c>
      <c r="I30" s="87">
        <v>1</v>
      </c>
      <c r="J30" s="86">
        <v>1</v>
      </c>
      <c r="K30" s="88">
        <f t="shared" si="10"/>
        <v>1.58</v>
      </c>
      <c r="L30" s="158"/>
    </row>
    <row r="31" spans="1:12">
      <c r="A31" s="110" t="s">
        <v>24</v>
      </c>
      <c r="B31" s="86">
        <v>26</v>
      </c>
      <c r="C31" s="81" t="s">
        <v>133</v>
      </c>
      <c r="D31" s="87">
        <v>1</v>
      </c>
      <c r="E31" s="87">
        <v>1</v>
      </c>
      <c r="F31" s="87">
        <f>D31</f>
        <v>1</v>
      </c>
      <c r="G31" s="87">
        <v>0</v>
      </c>
      <c r="H31" s="86">
        <v>1</v>
      </c>
      <c r="I31" s="86">
        <v>0</v>
      </c>
      <c r="J31" s="86">
        <v>1</v>
      </c>
      <c r="K31" s="88">
        <f t="shared" si="10"/>
        <v>2.33</v>
      </c>
      <c r="L31" s="158">
        <f>SUM(K31:K33)</f>
        <v>6.99</v>
      </c>
    </row>
    <row r="32" spans="1:12" ht="31.5">
      <c r="A32" s="110"/>
      <c r="B32" s="86">
        <v>27</v>
      </c>
      <c r="C32" s="81" t="s">
        <v>102</v>
      </c>
      <c r="D32" s="87">
        <v>1</v>
      </c>
      <c r="E32" s="87">
        <f t="shared" ref="E32:E33" si="11">D32</f>
        <v>1</v>
      </c>
      <c r="F32" s="87">
        <f t="shared" si="8"/>
        <v>1</v>
      </c>
      <c r="G32" s="87">
        <v>0</v>
      </c>
      <c r="H32" s="86">
        <v>1</v>
      </c>
      <c r="I32" s="86">
        <v>0</v>
      </c>
      <c r="J32" s="86">
        <f>D32</f>
        <v>1</v>
      </c>
      <c r="K32" s="88">
        <f t="shared" si="0"/>
        <v>2.33</v>
      </c>
      <c r="L32" s="158"/>
    </row>
    <row r="33" spans="1:12" ht="31.5">
      <c r="A33" s="110"/>
      <c r="B33" s="103">
        <v>28</v>
      </c>
      <c r="C33" s="81" t="s">
        <v>25</v>
      </c>
      <c r="D33" s="87">
        <v>1</v>
      </c>
      <c r="E33" s="87">
        <f t="shared" si="11"/>
        <v>1</v>
      </c>
      <c r="F33" s="87">
        <f t="shared" si="8"/>
        <v>1</v>
      </c>
      <c r="G33" s="87">
        <v>0</v>
      </c>
      <c r="H33" s="86">
        <v>1</v>
      </c>
      <c r="I33" s="86">
        <v>0</v>
      </c>
      <c r="J33" s="86">
        <f>D33</f>
        <v>1</v>
      </c>
      <c r="K33" s="88">
        <f t="shared" si="0"/>
        <v>2.33</v>
      </c>
      <c r="L33" s="158"/>
    </row>
    <row r="34" spans="1:12">
      <c r="A34" s="110" t="s">
        <v>26</v>
      </c>
      <c r="B34" s="86">
        <v>29</v>
      </c>
      <c r="C34" s="81" t="s">
        <v>103</v>
      </c>
      <c r="D34" s="87">
        <v>1</v>
      </c>
      <c r="E34" s="87">
        <v>1</v>
      </c>
      <c r="F34" s="87">
        <f t="shared" si="8"/>
        <v>1</v>
      </c>
      <c r="G34" s="87">
        <f>D34</f>
        <v>1</v>
      </c>
      <c r="H34" s="86">
        <v>1</v>
      </c>
      <c r="I34" s="86">
        <f>D34</f>
        <v>1</v>
      </c>
      <c r="J34" s="86">
        <f t="shared" ref="J34" si="12">D34</f>
        <v>1</v>
      </c>
      <c r="K34" s="88">
        <f t="shared" si="0"/>
        <v>2.91</v>
      </c>
      <c r="L34" s="158">
        <f>SUM(K34:K36)</f>
        <v>8.4</v>
      </c>
    </row>
    <row r="35" spans="1:12">
      <c r="A35" s="110"/>
      <c r="B35" s="86">
        <v>30</v>
      </c>
      <c r="C35" s="81" t="s">
        <v>104</v>
      </c>
      <c r="D35" s="87">
        <v>1</v>
      </c>
      <c r="E35" s="87">
        <v>1</v>
      </c>
      <c r="F35" s="87">
        <f t="shared" si="8"/>
        <v>1</v>
      </c>
      <c r="G35" s="87">
        <f t="shared" ref="G35:G36" si="13">D35</f>
        <v>1</v>
      </c>
      <c r="H35" s="86">
        <v>1</v>
      </c>
      <c r="I35" s="86">
        <v>0</v>
      </c>
      <c r="J35" s="86">
        <v>1</v>
      </c>
      <c r="K35" s="88">
        <f t="shared" si="0"/>
        <v>2.58</v>
      </c>
      <c r="L35" s="158"/>
    </row>
    <row r="36" spans="1:12">
      <c r="A36" s="110"/>
      <c r="B36" s="103">
        <v>31</v>
      </c>
      <c r="C36" s="90" t="s">
        <v>105</v>
      </c>
      <c r="D36" s="87">
        <v>1</v>
      </c>
      <c r="E36" s="87">
        <v>1</v>
      </c>
      <c r="F36" s="87">
        <v>1</v>
      </c>
      <c r="G36" s="87">
        <f t="shared" si="13"/>
        <v>1</v>
      </c>
      <c r="H36" s="86">
        <v>1</v>
      </c>
      <c r="I36" s="86">
        <f t="shared" ref="I36" si="14">D36</f>
        <v>1</v>
      </c>
      <c r="J36" s="86">
        <f>D36</f>
        <v>1</v>
      </c>
      <c r="K36" s="88">
        <f t="shared" si="0"/>
        <v>2.91</v>
      </c>
      <c r="L36" s="158"/>
    </row>
    <row r="37" spans="1:12" ht="15.75" customHeight="1">
      <c r="A37" s="143" t="s">
        <v>27</v>
      </c>
      <c r="B37" s="146" t="s">
        <v>28</v>
      </c>
      <c r="C37" s="147"/>
      <c r="D37" s="148"/>
      <c r="E37" s="74">
        <f>SUM(E6:E36)</f>
        <v>28</v>
      </c>
      <c r="F37" s="74">
        <f t="shared" ref="F37:J37" si="15">SUM(F7:F36)</f>
        <v>30</v>
      </c>
      <c r="G37" s="74">
        <f t="shared" si="15"/>
        <v>11</v>
      </c>
      <c r="H37" s="74">
        <f t="shared" si="15"/>
        <v>21</v>
      </c>
      <c r="I37" s="74">
        <f t="shared" si="15"/>
        <v>7</v>
      </c>
      <c r="J37" s="74">
        <f t="shared" si="15"/>
        <v>23</v>
      </c>
      <c r="K37" s="77">
        <f>SUM(E37:J37)</f>
        <v>120</v>
      </c>
      <c r="L37" s="163"/>
    </row>
    <row r="38" spans="1:12" ht="15.75" customHeight="1">
      <c r="A38" s="144"/>
      <c r="B38" s="146" t="s">
        <v>29</v>
      </c>
      <c r="C38" s="147"/>
      <c r="D38" s="148"/>
      <c r="E38" s="152">
        <f>E37+F37+G37</f>
        <v>69</v>
      </c>
      <c r="F38" s="152"/>
      <c r="G38" s="152"/>
      <c r="H38" s="152">
        <f>H37+I37+J37</f>
        <v>51</v>
      </c>
      <c r="I38" s="152"/>
      <c r="J38" s="152"/>
      <c r="K38" s="77">
        <f>SUM(E38:J38)</f>
        <v>120</v>
      </c>
      <c r="L38" s="164"/>
    </row>
    <row r="39" spans="1:12">
      <c r="A39" s="144"/>
      <c r="B39" s="153" t="s">
        <v>30</v>
      </c>
      <c r="C39" s="154"/>
      <c r="D39" s="155"/>
      <c r="E39" s="73">
        <f t="shared" ref="E39:J39" si="16">E37*E4</f>
        <v>9.24</v>
      </c>
      <c r="F39" s="73">
        <f t="shared" si="16"/>
        <v>15</v>
      </c>
      <c r="G39" s="73">
        <f t="shared" si="16"/>
        <v>2.75</v>
      </c>
      <c r="H39" s="73">
        <f t="shared" si="16"/>
        <v>21</v>
      </c>
      <c r="I39" s="73">
        <f t="shared" si="16"/>
        <v>2.31</v>
      </c>
      <c r="J39" s="73">
        <f t="shared" si="16"/>
        <v>11.5</v>
      </c>
      <c r="K39" s="77">
        <f>SUM(E39:J39)</f>
        <v>61.800000000000004</v>
      </c>
      <c r="L39" s="164"/>
    </row>
    <row r="40" spans="1:12">
      <c r="A40" s="145"/>
      <c r="B40" s="153" t="s">
        <v>31</v>
      </c>
      <c r="C40" s="154"/>
      <c r="D40" s="155"/>
      <c r="E40" s="156">
        <f>E39+F39+G39</f>
        <v>26.990000000000002</v>
      </c>
      <c r="F40" s="156"/>
      <c r="G40" s="156"/>
      <c r="H40" s="152">
        <f>H39+I39+J39</f>
        <v>34.81</v>
      </c>
      <c r="I40" s="152"/>
      <c r="J40" s="152"/>
      <c r="K40" s="77">
        <f>SUM(E40:J40)</f>
        <v>61.800000000000004</v>
      </c>
      <c r="L40" s="165"/>
    </row>
    <row r="41" spans="1:12" s="66" customFormat="1">
      <c r="A41" s="72"/>
      <c r="B41" s="75"/>
      <c r="D41" s="76"/>
      <c r="K41" s="71"/>
      <c r="L41" s="72"/>
    </row>
    <row r="42" spans="1:12" s="66" customFormat="1">
      <c r="A42" s="72"/>
      <c r="B42" s="75"/>
      <c r="D42" s="76"/>
      <c r="E42" s="142"/>
      <c r="F42" s="142"/>
      <c r="G42" s="142"/>
      <c r="H42" s="142"/>
      <c r="I42" s="142"/>
      <c r="J42" s="142"/>
      <c r="K42" s="71"/>
      <c r="L42" s="72"/>
    </row>
    <row r="43" spans="1:12" s="66" customFormat="1">
      <c r="A43" s="72"/>
      <c r="B43" s="75"/>
      <c r="D43" s="76"/>
      <c r="K43" s="71"/>
      <c r="L43" s="72"/>
    </row>
    <row r="44" spans="1:12" s="66" customFormat="1">
      <c r="A44" s="72"/>
      <c r="B44" s="75"/>
      <c r="D44" s="76"/>
      <c r="K44" s="71"/>
      <c r="L44" s="72"/>
    </row>
    <row r="45" spans="1:12" s="66" customFormat="1">
      <c r="A45" s="72"/>
      <c r="B45" s="75"/>
      <c r="D45" s="76"/>
      <c r="K45" s="71"/>
      <c r="L45" s="72"/>
    </row>
    <row r="46" spans="1:12" s="66" customFormat="1">
      <c r="A46" s="72"/>
      <c r="B46" s="75"/>
      <c r="D46" s="76"/>
      <c r="K46" s="71"/>
      <c r="L46" s="72"/>
    </row>
    <row r="47" spans="1:12" s="66" customFormat="1">
      <c r="A47" s="72"/>
      <c r="B47" s="75"/>
      <c r="D47" s="76"/>
      <c r="K47" s="71"/>
      <c r="L47" s="72"/>
    </row>
    <row r="48" spans="1:12" s="66" customFormat="1">
      <c r="A48" s="72"/>
      <c r="B48" s="75"/>
      <c r="D48" s="76"/>
      <c r="K48" s="71"/>
      <c r="L48" s="72"/>
    </row>
    <row r="49" spans="1:12" s="66" customFormat="1">
      <c r="A49" s="72"/>
      <c r="B49" s="75"/>
      <c r="D49" s="76"/>
      <c r="K49" s="71"/>
      <c r="L49" s="72"/>
    </row>
    <row r="50" spans="1:12" s="66" customFormat="1">
      <c r="A50" s="72"/>
      <c r="B50" s="75"/>
      <c r="D50" s="76"/>
      <c r="K50" s="71"/>
      <c r="L50" s="72"/>
    </row>
    <row r="51" spans="1:12" s="66" customFormat="1">
      <c r="A51" s="72"/>
      <c r="B51" s="75"/>
      <c r="D51" s="76"/>
      <c r="K51" s="71"/>
      <c r="L51" s="72"/>
    </row>
    <row r="52" spans="1:12" s="66" customFormat="1">
      <c r="A52" s="72"/>
      <c r="B52" s="75"/>
      <c r="D52" s="76"/>
      <c r="K52" s="71"/>
      <c r="L52" s="72"/>
    </row>
    <row r="53" spans="1:12" s="66" customFormat="1">
      <c r="A53" s="72"/>
      <c r="B53" s="75"/>
      <c r="D53" s="76"/>
      <c r="K53" s="71"/>
      <c r="L53" s="72"/>
    </row>
    <row r="54" spans="1:12" s="66" customFormat="1">
      <c r="A54" s="72"/>
      <c r="B54" s="75"/>
      <c r="D54" s="76"/>
      <c r="K54" s="71"/>
      <c r="L54" s="72"/>
    </row>
    <row r="55" spans="1:12" s="66" customFormat="1">
      <c r="A55" s="72"/>
      <c r="B55" s="75"/>
      <c r="D55" s="76"/>
      <c r="K55" s="71"/>
      <c r="L55" s="72"/>
    </row>
    <row r="56" spans="1:12" s="66" customFormat="1">
      <c r="A56" s="72"/>
      <c r="B56" s="75"/>
      <c r="D56" s="76"/>
      <c r="K56" s="71"/>
      <c r="L56" s="72"/>
    </row>
    <row r="57" spans="1:12" s="66" customFormat="1">
      <c r="A57" s="72"/>
      <c r="B57" s="75"/>
      <c r="D57" s="76"/>
      <c r="K57" s="71"/>
      <c r="L57" s="72"/>
    </row>
    <row r="58" spans="1:12" s="66" customFormat="1">
      <c r="A58" s="72"/>
      <c r="B58" s="75"/>
      <c r="D58" s="76"/>
      <c r="K58" s="71"/>
      <c r="L58" s="72"/>
    </row>
    <row r="59" spans="1:12" s="66" customFormat="1">
      <c r="A59" s="72"/>
      <c r="B59" s="75"/>
      <c r="D59" s="76"/>
      <c r="K59" s="71"/>
      <c r="L59" s="72"/>
    </row>
    <row r="60" spans="1:12" s="66" customFormat="1">
      <c r="A60" s="72"/>
      <c r="B60" s="75"/>
      <c r="D60" s="76"/>
      <c r="K60" s="71"/>
      <c r="L60" s="72"/>
    </row>
    <row r="61" spans="1:12" s="66" customFormat="1">
      <c r="A61" s="72"/>
      <c r="B61" s="75"/>
      <c r="D61" s="76"/>
      <c r="K61" s="71"/>
      <c r="L61" s="72"/>
    </row>
    <row r="62" spans="1:12" s="66" customFormat="1">
      <c r="A62" s="72"/>
      <c r="B62" s="75"/>
      <c r="D62" s="76"/>
      <c r="K62" s="71"/>
      <c r="L62" s="72"/>
    </row>
    <row r="63" spans="1:12" s="66" customFormat="1">
      <c r="A63" s="72"/>
      <c r="B63" s="75"/>
      <c r="D63" s="76"/>
      <c r="K63" s="71"/>
      <c r="L63" s="72"/>
    </row>
    <row r="64" spans="1:12" s="66" customFormat="1">
      <c r="A64" s="72"/>
      <c r="B64" s="75"/>
      <c r="D64" s="76"/>
      <c r="K64" s="71"/>
      <c r="L64" s="72"/>
    </row>
    <row r="65" spans="1:12" s="66" customFormat="1">
      <c r="A65" s="72"/>
      <c r="B65" s="75"/>
      <c r="D65" s="76"/>
      <c r="K65" s="71"/>
      <c r="L65" s="72"/>
    </row>
    <row r="66" spans="1:12" s="66" customFormat="1">
      <c r="A66" s="72"/>
      <c r="B66" s="75"/>
      <c r="D66" s="76"/>
      <c r="K66" s="71"/>
      <c r="L66" s="72"/>
    </row>
    <row r="67" spans="1:12" s="66" customFormat="1">
      <c r="A67" s="72"/>
      <c r="B67" s="75"/>
      <c r="D67" s="76"/>
      <c r="K67" s="71"/>
      <c r="L67" s="72"/>
    </row>
    <row r="68" spans="1:12" s="66" customFormat="1">
      <c r="A68" s="72"/>
      <c r="B68" s="75"/>
      <c r="D68" s="76"/>
      <c r="K68" s="71"/>
      <c r="L68" s="72"/>
    </row>
    <row r="69" spans="1:12" s="66" customFormat="1">
      <c r="A69" s="72"/>
      <c r="B69" s="75"/>
      <c r="D69" s="76"/>
      <c r="K69" s="71"/>
      <c r="L69" s="72"/>
    </row>
    <row r="70" spans="1:12" s="66" customFormat="1">
      <c r="A70" s="72"/>
      <c r="B70" s="75"/>
      <c r="D70" s="76"/>
      <c r="K70" s="71"/>
      <c r="L70" s="72"/>
    </row>
    <row r="71" spans="1:12" s="66" customFormat="1">
      <c r="A71" s="72"/>
      <c r="B71" s="75"/>
      <c r="D71" s="76"/>
      <c r="K71" s="71"/>
      <c r="L71" s="72"/>
    </row>
    <row r="72" spans="1:12" s="66" customFormat="1">
      <c r="A72" s="72"/>
      <c r="B72" s="75"/>
      <c r="D72" s="76"/>
      <c r="K72" s="71"/>
      <c r="L72" s="72"/>
    </row>
    <row r="73" spans="1:12" s="66" customFormat="1">
      <c r="A73" s="72"/>
      <c r="B73" s="75"/>
      <c r="D73" s="76"/>
      <c r="K73" s="71"/>
      <c r="L73" s="72"/>
    </row>
    <row r="74" spans="1:12" s="66" customFormat="1">
      <c r="A74" s="72"/>
      <c r="B74" s="75"/>
      <c r="D74" s="76"/>
      <c r="K74" s="71"/>
      <c r="L74" s="72"/>
    </row>
    <row r="75" spans="1:12" s="66" customFormat="1">
      <c r="A75" s="72"/>
      <c r="B75" s="75"/>
      <c r="D75" s="76"/>
      <c r="K75" s="71"/>
      <c r="L75" s="72"/>
    </row>
    <row r="76" spans="1:12" s="66" customFormat="1">
      <c r="A76" s="72"/>
      <c r="B76" s="75"/>
      <c r="D76" s="76"/>
      <c r="K76" s="71"/>
      <c r="L76" s="72"/>
    </row>
    <row r="77" spans="1:12" s="66" customFormat="1">
      <c r="A77" s="72"/>
      <c r="B77" s="75"/>
      <c r="D77" s="76"/>
      <c r="K77" s="71"/>
      <c r="L77" s="72"/>
    </row>
    <row r="78" spans="1:12" s="66" customFormat="1">
      <c r="A78" s="72"/>
      <c r="B78" s="75"/>
      <c r="D78" s="76"/>
      <c r="K78" s="71"/>
      <c r="L78" s="72"/>
    </row>
    <row r="79" spans="1:12" s="66" customFormat="1">
      <c r="A79" s="72"/>
      <c r="B79" s="75"/>
      <c r="D79" s="76"/>
      <c r="K79" s="71"/>
      <c r="L79" s="72"/>
    </row>
    <row r="80" spans="1:12" s="66" customFormat="1">
      <c r="A80" s="72"/>
      <c r="B80" s="75"/>
      <c r="D80" s="76"/>
      <c r="K80" s="71"/>
      <c r="L80" s="72"/>
    </row>
    <row r="81" spans="1:12" s="66" customFormat="1">
      <c r="A81" s="72"/>
      <c r="B81" s="75"/>
      <c r="D81" s="76"/>
      <c r="K81" s="71"/>
      <c r="L81" s="72"/>
    </row>
    <row r="82" spans="1:12" s="66" customFormat="1">
      <c r="A82" s="72"/>
      <c r="B82" s="75"/>
      <c r="D82" s="76"/>
      <c r="K82" s="71"/>
      <c r="L82" s="72"/>
    </row>
    <row r="83" spans="1:12" s="66" customFormat="1">
      <c r="A83" s="72"/>
      <c r="B83" s="75"/>
      <c r="D83" s="76"/>
      <c r="K83" s="71"/>
      <c r="L83" s="72"/>
    </row>
    <row r="84" spans="1:12" s="66" customFormat="1">
      <c r="A84" s="72"/>
      <c r="B84" s="75"/>
      <c r="D84" s="76"/>
      <c r="K84" s="71"/>
      <c r="L84" s="72"/>
    </row>
    <row r="85" spans="1:12" s="66" customFormat="1">
      <c r="A85" s="72"/>
      <c r="B85" s="75"/>
      <c r="D85" s="76"/>
      <c r="K85" s="71"/>
      <c r="L85" s="72"/>
    </row>
    <row r="86" spans="1:12" s="66" customFormat="1">
      <c r="A86" s="72"/>
      <c r="B86" s="75"/>
      <c r="D86" s="76"/>
      <c r="K86" s="71"/>
      <c r="L86" s="72"/>
    </row>
    <row r="87" spans="1:12" s="66" customFormat="1">
      <c r="A87" s="72"/>
      <c r="B87" s="75"/>
      <c r="D87" s="76"/>
      <c r="K87" s="71"/>
      <c r="L87" s="72"/>
    </row>
    <row r="88" spans="1:12" s="66" customFormat="1">
      <c r="A88" s="72"/>
      <c r="B88" s="75"/>
      <c r="D88" s="76"/>
      <c r="K88" s="71"/>
      <c r="L88" s="72"/>
    </row>
    <row r="89" spans="1:12" s="66" customFormat="1">
      <c r="A89" s="72"/>
      <c r="B89" s="75"/>
      <c r="D89" s="76"/>
      <c r="K89" s="71"/>
      <c r="L89" s="72"/>
    </row>
    <row r="90" spans="1:12" s="66" customFormat="1">
      <c r="A90" s="72"/>
      <c r="B90" s="75"/>
      <c r="D90" s="76"/>
      <c r="K90" s="71"/>
      <c r="L90" s="72"/>
    </row>
    <row r="91" spans="1:12" s="66" customFormat="1">
      <c r="A91" s="72"/>
      <c r="B91" s="75"/>
      <c r="D91" s="76"/>
      <c r="K91" s="71"/>
      <c r="L91" s="72"/>
    </row>
    <row r="92" spans="1:12" s="66" customFormat="1">
      <c r="A92" s="72"/>
      <c r="B92" s="75"/>
      <c r="D92" s="76"/>
      <c r="K92" s="71"/>
      <c r="L92" s="72"/>
    </row>
    <row r="93" spans="1:12" s="66" customFormat="1">
      <c r="A93" s="72"/>
      <c r="B93" s="75"/>
      <c r="D93" s="76"/>
      <c r="K93" s="71"/>
      <c r="L93" s="72"/>
    </row>
    <row r="94" spans="1:12" s="66" customFormat="1">
      <c r="A94" s="72"/>
      <c r="B94" s="75"/>
      <c r="D94" s="76"/>
      <c r="K94" s="71"/>
      <c r="L94" s="72"/>
    </row>
    <row r="95" spans="1:12" s="66" customFormat="1">
      <c r="A95" s="72"/>
      <c r="B95" s="75"/>
      <c r="D95" s="76"/>
      <c r="K95" s="71"/>
      <c r="L95" s="72"/>
    </row>
    <row r="96" spans="1:12" s="66" customFormat="1">
      <c r="A96" s="72"/>
      <c r="B96" s="75"/>
      <c r="D96" s="76"/>
      <c r="K96" s="71"/>
      <c r="L96" s="72"/>
    </row>
    <row r="97" spans="1:12" s="66" customFormat="1">
      <c r="A97" s="72"/>
      <c r="B97" s="75"/>
      <c r="D97" s="76"/>
      <c r="K97" s="71"/>
      <c r="L97" s="72"/>
    </row>
    <row r="98" spans="1:12" s="66" customFormat="1">
      <c r="A98" s="72"/>
      <c r="B98" s="75"/>
      <c r="D98" s="76"/>
      <c r="K98" s="71"/>
      <c r="L98" s="72"/>
    </row>
    <row r="99" spans="1:12" s="66" customFormat="1">
      <c r="A99" s="72"/>
      <c r="B99" s="75"/>
      <c r="D99" s="76"/>
      <c r="K99" s="71"/>
      <c r="L99" s="72"/>
    </row>
    <row r="100" spans="1:12" s="66" customFormat="1">
      <c r="A100" s="72"/>
      <c r="B100" s="75"/>
      <c r="D100" s="76"/>
      <c r="K100" s="71"/>
      <c r="L100" s="72"/>
    </row>
    <row r="101" spans="1:12" s="66" customFormat="1">
      <c r="A101" s="72"/>
      <c r="B101" s="75"/>
      <c r="D101" s="76"/>
      <c r="K101" s="71"/>
      <c r="L101" s="72"/>
    </row>
    <row r="102" spans="1:12" s="66" customFormat="1">
      <c r="A102" s="72"/>
      <c r="B102" s="75"/>
      <c r="D102" s="76"/>
      <c r="K102" s="71"/>
      <c r="L102" s="72"/>
    </row>
    <row r="103" spans="1:12" s="66" customFormat="1">
      <c r="A103" s="72"/>
      <c r="B103" s="75"/>
      <c r="D103" s="76"/>
      <c r="K103" s="71"/>
      <c r="L103" s="72"/>
    </row>
    <row r="104" spans="1:12" s="66" customFormat="1">
      <c r="A104" s="72"/>
      <c r="B104" s="75"/>
      <c r="D104" s="76"/>
      <c r="K104" s="71"/>
      <c r="L104" s="72"/>
    </row>
    <row r="105" spans="1:12" s="66" customFormat="1">
      <c r="A105" s="72"/>
      <c r="B105" s="75"/>
      <c r="D105" s="76"/>
      <c r="K105" s="71"/>
      <c r="L105" s="72"/>
    </row>
    <row r="106" spans="1:12" s="66" customFormat="1">
      <c r="A106" s="72"/>
      <c r="B106" s="75"/>
      <c r="D106" s="76"/>
      <c r="K106" s="71"/>
      <c r="L106" s="72"/>
    </row>
    <row r="107" spans="1:12" s="66" customFormat="1">
      <c r="A107" s="72"/>
      <c r="B107" s="75"/>
      <c r="D107" s="76"/>
      <c r="K107" s="71"/>
      <c r="L107" s="72"/>
    </row>
    <row r="108" spans="1:12" s="66" customFormat="1">
      <c r="A108" s="72"/>
      <c r="B108" s="75"/>
      <c r="D108" s="76"/>
      <c r="K108" s="71"/>
      <c r="L108" s="72"/>
    </row>
    <row r="109" spans="1:12" s="66" customFormat="1">
      <c r="A109" s="72"/>
      <c r="B109" s="75"/>
      <c r="D109" s="76"/>
      <c r="K109" s="71"/>
      <c r="L109" s="72"/>
    </row>
    <row r="110" spans="1:12" s="66" customFormat="1">
      <c r="A110" s="72"/>
      <c r="B110" s="75"/>
      <c r="D110" s="76"/>
      <c r="K110" s="71"/>
      <c r="L110" s="72"/>
    </row>
    <row r="111" spans="1:12" s="66" customFormat="1">
      <c r="A111" s="72"/>
      <c r="B111" s="75"/>
      <c r="D111" s="76"/>
      <c r="K111" s="71"/>
      <c r="L111" s="72"/>
    </row>
    <row r="112" spans="1:12" s="66" customFormat="1">
      <c r="A112" s="72"/>
      <c r="B112" s="75"/>
      <c r="D112" s="76"/>
      <c r="K112" s="71"/>
      <c r="L112" s="72"/>
    </row>
    <row r="113" spans="1:12" s="66" customFormat="1">
      <c r="A113" s="72"/>
      <c r="B113" s="75"/>
      <c r="D113" s="76"/>
      <c r="K113" s="71"/>
      <c r="L113" s="72"/>
    </row>
    <row r="114" spans="1:12" s="66" customFormat="1">
      <c r="A114" s="72"/>
      <c r="B114" s="75"/>
      <c r="D114" s="76"/>
      <c r="K114" s="71"/>
      <c r="L114" s="72"/>
    </row>
    <row r="115" spans="1:12" s="66" customFormat="1">
      <c r="A115" s="72"/>
      <c r="B115" s="75"/>
      <c r="D115" s="76"/>
      <c r="K115" s="71"/>
      <c r="L115" s="72"/>
    </row>
    <row r="116" spans="1:12" s="66" customFormat="1">
      <c r="A116" s="72"/>
      <c r="B116" s="75"/>
      <c r="D116" s="76"/>
      <c r="K116" s="71"/>
      <c r="L116" s="72"/>
    </row>
    <row r="117" spans="1:12" s="66" customFormat="1">
      <c r="A117" s="72"/>
      <c r="B117" s="75"/>
      <c r="D117" s="76"/>
      <c r="K117" s="71"/>
      <c r="L117" s="72"/>
    </row>
    <row r="118" spans="1:12" s="66" customFormat="1">
      <c r="A118" s="72"/>
      <c r="B118" s="75"/>
      <c r="D118" s="76"/>
      <c r="K118" s="71"/>
      <c r="L118" s="72"/>
    </row>
    <row r="119" spans="1:12" s="66" customFormat="1">
      <c r="A119" s="72"/>
      <c r="B119" s="75"/>
      <c r="D119" s="76"/>
      <c r="K119" s="71"/>
      <c r="L119" s="72"/>
    </row>
    <row r="120" spans="1:12" s="66" customFormat="1">
      <c r="A120" s="72"/>
      <c r="B120" s="75"/>
      <c r="D120" s="76"/>
      <c r="K120" s="71"/>
      <c r="L120" s="72"/>
    </row>
    <row r="121" spans="1:12" s="66" customFormat="1">
      <c r="A121" s="72"/>
      <c r="B121" s="75"/>
      <c r="D121" s="76"/>
      <c r="K121" s="71"/>
      <c r="L121" s="72"/>
    </row>
    <row r="122" spans="1:12" s="66" customFormat="1">
      <c r="A122" s="72"/>
      <c r="B122" s="75"/>
      <c r="D122" s="76"/>
      <c r="K122" s="71"/>
      <c r="L122" s="72"/>
    </row>
    <row r="123" spans="1:12" s="66" customFormat="1">
      <c r="A123" s="72"/>
      <c r="B123" s="75"/>
      <c r="D123" s="76"/>
      <c r="K123" s="71"/>
      <c r="L123" s="72"/>
    </row>
    <row r="124" spans="1:12" s="66" customFormat="1">
      <c r="A124" s="72"/>
      <c r="B124" s="75"/>
      <c r="D124" s="76"/>
      <c r="K124" s="71"/>
      <c r="L124" s="72"/>
    </row>
    <row r="125" spans="1:12" s="66" customFormat="1">
      <c r="A125" s="72"/>
      <c r="B125" s="75"/>
      <c r="D125" s="76"/>
      <c r="K125" s="71"/>
      <c r="L125" s="72"/>
    </row>
    <row r="126" spans="1:12" s="66" customFormat="1">
      <c r="A126" s="72"/>
      <c r="B126" s="75"/>
      <c r="D126" s="76"/>
      <c r="K126" s="71"/>
      <c r="L126" s="72"/>
    </row>
    <row r="127" spans="1:12" s="66" customFormat="1">
      <c r="A127" s="72"/>
      <c r="B127" s="75"/>
      <c r="D127" s="76"/>
      <c r="K127" s="71"/>
      <c r="L127" s="72"/>
    </row>
    <row r="128" spans="1:12" s="66" customFormat="1">
      <c r="A128" s="72"/>
      <c r="B128" s="75"/>
      <c r="D128" s="76"/>
      <c r="K128" s="71"/>
      <c r="L128" s="72"/>
    </row>
    <row r="129" spans="1:12" s="66" customFormat="1">
      <c r="A129" s="72"/>
      <c r="B129" s="75"/>
      <c r="D129" s="76"/>
      <c r="K129" s="71"/>
      <c r="L129" s="72"/>
    </row>
    <row r="130" spans="1:12" s="66" customFormat="1">
      <c r="A130" s="72"/>
      <c r="B130" s="75"/>
      <c r="D130" s="76"/>
      <c r="K130" s="71"/>
      <c r="L130" s="72"/>
    </row>
    <row r="131" spans="1:12" s="66" customFormat="1">
      <c r="A131" s="72"/>
      <c r="B131" s="75"/>
      <c r="D131" s="76"/>
      <c r="K131" s="71"/>
      <c r="L131" s="72"/>
    </row>
    <row r="132" spans="1:12" s="66" customFormat="1">
      <c r="A132" s="72"/>
      <c r="B132" s="75"/>
      <c r="D132" s="76"/>
      <c r="K132" s="71"/>
      <c r="L132" s="72"/>
    </row>
    <row r="133" spans="1:12" s="66" customFormat="1">
      <c r="A133" s="72"/>
      <c r="B133" s="75"/>
      <c r="D133" s="76"/>
      <c r="K133" s="71"/>
      <c r="L133" s="72"/>
    </row>
    <row r="134" spans="1:12" s="66" customFormat="1">
      <c r="A134" s="72"/>
      <c r="B134" s="75"/>
      <c r="D134" s="76"/>
      <c r="K134" s="71"/>
      <c r="L134" s="72"/>
    </row>
    <row r="135" spans="1:12" s="66" customFormat="1">
      <c r="A135" s="72"/>
      <c r="B135" s="75"/>
      <c r="D135" s="76"/>
      <c r="K135" s="71"/>
      <c r="L135" s="72"/>
    </row>
    <row r="136" spans="1:12" s="66" customFormat="1">
      <c r="A136" s="72"/>
      <c r="B136" s="75"/>
      <c r="D136" s="76"/>
      <c r="K136" s="71"/>
      <c r="L136" s="72"/>
    </row>
    <row r="137" spans="1:12" s="66" customFormat="1">
      <c r="A137" s="72"/>
      <c r="B137" s="75"/>
      <c r="D137" s="76"/>
      <c r="K137" s="71"/>
      <c r="L137" s="72"/>
    </row>
    <row r="138" spans="1:12" s="66" customFormat="1">
      <c r="A138" s="72"/>
      <c r="B138" s="75"/>
      <c r="D138" s="76"/>
      <c r="K138" s="71"/>
      <c r="L138" s="72"/>
    </row>
    <row r="139" spans="1:12" s="66" customFormat="1">
      <c r="A139" s="72"/>
      <c r="B139" s="75"/>
      <c r="D139" s="76"/>
      <c r="K139" s="71"/>
      <c r="L139" s="72"/>
    </row>
    <row r="140" spans="1:12" s="66" customFormat="1">
      <c r="A140" s="72"/>
      <c r="B140" s="75"/>
      <c r="D140" s="76"/>
      <c r="K140" s="71"/>
      <c r="L140" s="72"/>
    </row>
    <row r="141" spans="1:12" s="66" customFormat="1">
      <c r="A141" s="72"/>
      <c r="B141" s="75"/>
      <c r="D141" s="76"/>
      <c r="K141" s="71"/>
      <c r="L141" s="72"/>
    </row>
    <row r="142" spans="1:12" s="66" customFormat="1">
      <c r="A142" s="72"/>
      <c r="B142" s="75"/>
      <c r="D142" s="76"/>
      <c r="K142" s="71"/>
      <c r="L142" s="72"/>
    </row>
    <row r="143" spans="1:12" s="66" customFormat="1">
      <c r="A143" s="72"/>
      <c r="B143" s="75"/>
      <c r="D143" s="76"/>
      <c r="K143" s="71"/>
      <c r="L143" s="72"/>
    </row>
    <row r="144" spans="1:12" s="66" customFormat="1">
      <c r="A144" s="72"/>
      <c r="B144" s="75"/>
      <c r="D144" s="76"/>
      <c r="K144" s="71"/>
      <c r="L144" s="72"/>
    </row>
    <row r="145" spans="1:12" s="66" customFormat="1">
      <c r="A145" s="72"/>
      <c r="B145" s="75"/>
      <c r="D145" s="76"/>
      <c r="K145" s="71"/>
      <c r="L145" s="72"/>
    </row>
    <row r="146" spans="1:12" s="66" customFormat="1">
      <c r="A146" s="72"/>
      <c r="B146" s="75"/>
      <c r="D146" s="76"/>
      <c r="K146" s="71"/>
      <c r="L146" s="72"/>
    </row>
    <row r="147" spans="1:12" s="66" customFormat="1">
      <c r="A147" s="72"/>
      <c r="B147" s="75"/>
      <c r="D147" s="76"/>
      <c r="K147" s="71"/>
      <c r="L147" s="72"/>
    </row>
    <row r="148" spans="1:12" s="66" customFormat="1">
      <c r="A148" s="72"/>
      <c r="B148" s="75"/>
      <c r="D148" s="76"/>
      <c r="K148" s="71"/>
      <c r="L148" s="72"/>
    </row>
    <row r="149" spans="1:12" s="66" customFormat="1">
      <c r="A149" s="72"/>
      <c r="B149" s="75"/>
      <c r="D149" s="76"/>
      <c r="K149" s="71"/>
      <c r="L149" s="72"/>
    </row>
    <row r="150" spans="1:12" s="66" customFormat="1">
      <c r="A150" s="72"/>
      <c r="B150" s="75"/>
      <c r="D150" s="76"/>
      <c r="K150" s="71"/>
      <c r="L150" s="72"/>
    </row>
    <row r="151" spans="1:12" s="66" customFormat="1">
      <c r="A151" s="72"/>
      <c r="B151" s="75"/>
      <c r="D151" s="76"/>
      <c r="K151" s="71"/>
      <c r="L151" s="72"/>
    </row>
    <row r="152" spans="1:12" s="66" customFormat="1">
      <c r="A152" s="72"/>
      <c r="B152" s="75"/>
      <c r="D152" s="76"/>
      <c r="K152" s="71"/>
      <c r="L152" s="72"/>
    </row>
    <row r="153" spans="1:12" s="66" customFormat="1">
      <c r="A153" s="72"/>
      <c r="B153" s="75"/>
      <c r="D153" s="76"/>
      <c r="K153" s="71"/>
      <c r="L153" s="72"/>
    </row>
    <row r="154" spans="1:12" s="66" customFormat="1">
      <c r="A154" s="72"/>
      <c r="B154" s="75"/>
      <c r="D154" s="76"/>
      <c r="K154" s="71"/>
      <c r="L154" s="72"/>
    </row>
    <row r="155" spans="1:12" s="66" customFormat="1">
      <c r="A155" s="72"/>
      <c r="B155" s="75"/>
      <c r="D155" s="76"/>
      <c r="K155" s="71"/>
      <c r="L155" s="72"/>
    </row>
    <row r="156" spans="1:12" s="66" customFormat="1">
      <c r="A156" s="72"/>
      <c r="B156" s="75"/>
      <c r="D156" s="76"/>
      <c r="K156" s="71"/>
      <c r="L156" s="72"/>
    </row>
    <row r="157" spans="1:12" s="66" customFormat="1">
      <c r="A157" s="72"/>
      <c r="B157" s="75"/>
      <c r="D157" s="76"/>
      <c r="K157" s="71"/>
      <c r="L157" s="72"/>
    </row>
    <row r="158" spans="1:12" s="66" customFormat="1">
      <c r="A158" s="72"/>
      <c r="B158" s="75"/>
      <c r="D158" s="76"/>
      <c r="K158" s="71"/>
      <c r="L158" s="72"/>
    </row>
    <row r="159" spans="1:12" s="66" customFormat="1">
      <c r="A159" s="72"/>
      <c r="B159" s="75"/>
      <c r="D159" s="76"/>
      <c r="K159" s="71"/>
      <c r="L159" s="72"/>
    </row>
    <row r="160" spans="1:12" s="66" customFormat="1">
      <c r="A160" s="72"/>
      <c r="B160" s="75"/>
      <c r="D160" s="76"/>
      <c r="K160" s="71"/>
      <c r="L160" s="72"/>
    </row>
    <row r="161" spans="1:12" s="66" customFormat="1">
      <c r="A161" s="72"/>
      <c r="B161" s="75"/>
      <c r="D161" s="76"/>
      <c r="K161" s="71"/>
      <c r="L161" s="72"/>
    </row>
    <row r="162" spans="1:12" s="66" customFormat="1">
      <c r="A162" s="72"/>
      <c r="B162" s="75"/>
      <c r="D162" s="76"/>
      <c r="K162" s="71"/>
      <c r="L162" s="72"/>
    </row>
    <row r="163" spans="1:12" s="66" customFormat="1">
      <c r="A163" s="72"/>
      <c r="B163" s="75"/>
      <c r="D163" s="76"/>
      <c r="K163" s="71"/>
      <c r="L163" s="72"/>
    </row>
    <row r="164" spans="1:12" s="66" customFormat="1">
      <c r="A164" s="72"/>
      <c r="B164" s="75"/>
      <c r="D164" s="76"/>
      <c r="K164" s="71"/>
      <c r="L164" s="72"/>
    </row>
    <row r="165" spans="1:12" s="66" customFormat="1">
      <c r="A165" s="72"/>
      <c r="B165" s="75"/>
      <c r="D165" s="76"/>
      <c r="K165" s="71"/>
      <c r="L165" s="72"/>
    </row>
    <row r="166" spans="1:12" s="66" customFormat="1">
      <c r="A166" s="72"/>
      <c r="B166" s="75"/>
      <c r="D166" s="76"/>
      <c r="K166" s="71"/>
      <c r="L166" s="72"/>
    </row>
    <row r="167" spans="1:12" s="66" customFormat="1">
      <c r="A167" s="72"/>
      <c r="B167" s="75"/>
      <c r="D167" s="76"/>
      <c r="K167" s="71"/>
      <c r="L167" s="72"/>
    </row>
    <row r="168" spans="1:12" s="66" customFormat="1">
      <c r="A168" s="72"/>
      <c r="B168" s="75"/>
      <c r="D168" s="76"/>
      <c r="K168" s="71"/>
      <c r="L168" s="72"/>
    </row>
    <row r="169" spans="1:12" s="66" customFormat="1">
      <c r="A169" s="72"/>
      <c r="B169" s="75"/>
      <c r="D169" s="76"/>
      <c r="K169" s="71"/>
      <c r="L169" s="72"/>
    </row>
    <row r="170" spans="1:12" s="66" customFormat="1">
      <c r="A170" s="72"/>
      <c r="B170" s="75"/>
      <c r="D170" s="76"/>
      <c r="K170" s="71"/>
      <c r="L170" s="72"/>
    </row>
    <row r="171" spans="1:12" s="66" customFormat="1">
      <c r="A171" s="72"/>
      <c r="B171" s="75"/>
      <c r="D171" s="76"/>
      <c r="K171" s="71"/>
      <c r="L171" s="72"/>
    </row>
    <row r="172" spans="1:12" s="66" customFormat="1">
      <c r="A172" s="72"/>
      <c r="B172" s="75"/>
      <c r="D172" s="76"/>
      <c r="K172" s="71"/>
      <c r="L172" s="72"/>
    </row>
    <row r="173" spans="1:12" s="66" customFormat="1">
      <c r="A173" s="72"/>
      <c r="B173" s="75"/>
      <c r="D173" s="76"/>
      <c r="K173" s="71"/>
      <c r="L173" s="72"/>
    </row>
    <row r="174" spans="1:12" s="66" customFormat="1">
      <c r="A174" s="72"/>
      <c r="B174" s="75"/>
      <c r="D174" s="76"/>
      <c r="K174" s="71"/>
      <c r="L174" s="72"/>
    </row>
    <row r="175" spans="1:12" s="66" customFormat="1">
      <c r="A175" s="72"/>
      <c r="B175" s="75"/>
      <c r="D175" s="76"/>
      <c r="K175" s="71"/>
      <c r="L175" s="72"/>
    </row>
    <row r="176" spans="1:12" s="66" customFormat="1">
      <c r="A176" s="72"/>
      <c r="B176" s="75"/>
      <c r="D176" s="76"/>
      <c r="K176" s="71"/>
      <c r="L176" s="72"/>
    </row>
    <row r="177" spans="1:12" s="66" customFormat="1">
      <c r="A177" s="72"/>
      <c r="B177" s="75"/>
      <c r="D177" s="76"/>
      <c r="K177" s="71"/>
      <c r="L177" s="72"/>
    </row>
    <row r="178" spans="1:12" s="66" customFormat="1">
      <c r="A178" s="72"/>
      <c r="B178" s="75"/>
      <c r="D178" s="76"/>
      <c r="K178" s="71"/>
      <c r="L178" s="72"/>
    </row>
    <row r="179" spans="1:12" s="66" customFormat="1">
      <c r="A179" s="72"/>
      <c r="B179" s="75"/>
      <c r="D179" s="76"/>
      <c r="K179" s="71"/>
      <c r="L179" s="72"/>
    </row>
    <row r="180" spans="1:12" s="66" customFormat="1">
      <c r="A180" s="72"/>
      <c r="B180" s="75"/>
      <c r="D180" s="76"/>
      <c r="K180" s="71"/>
      <c r="L180" s="72"/>
    </row>
    <row r="181" spans="1:12" s="66" customFormat="1">
      <c r="A181" s="72"/>
      <c r="B181" s="75"/>
      <c r="D181" s="76"/>
      <c r="K181" s="71"/>
      <c r="L181" s="72"/>
    </row>
    <row r="182" spans="1:12" s="66" customFormat="1">
      <c r="A182" s="72"/>
      <c r="B182" s="75"/>
      <c r="D182" s="76"/>
      <c r="K182" s="71"/>
      <c r="L182" s="72"/>
    </row>
    <row r="183" spans="1:12" s="66" customFormat="1">
      <c r="A183" s="72"/>
      <c r="B183" s="75"/>
      <c r="D183" s="76"/>
      <c r="K183" s="71"/>
      <c r="L183" s="72"/>
    </row>
    <row r="184" spans="1:12" s="66" customFormat="1">
      <c r="A184" s="72"/>
      <c r="B184" s="75"/>
      <c r="D184" s="76"/>
      <c r="K184" s="71"/>
      <c r="L184" s="72"/>
    </row>
    <row r="185" spans="1:12" s="66" customFormat="1">
      <c r="A185" s="72"/>
      <c r="B185" s="75"/>
      <c r="D185" s="76"/>
      <c r="K185" s="71"/>
      <c r="L185" s="72"/>
    </row>
    <row r="186" spans="1:12" s="66" customFormat="1">
      <c r="A186" s="72"/>
      <c r="B186" s="75"/>
      <c r="D186" s="76"/>
      <c r="K186" s="71"/>
      <c r="L186" s="72"/>
    </row>
    <row r="187" spans="1:12" s="66" customFormat="1">
      <c r="A187" s="72"/>
      <c r="B187" s="75"/>
      <c r="D187" s="76"/>
      <c r="K187" s="71"/>
      <c r="L187" s="72"/>
    </row>
    <row r="188" spans="1:12" s="66" customFormat="1">
      <c r="A188" s="72"/>
      <c r="B188" s="75"/>
      <c r="D188" s="76"/>
      <c r="K188" s="71"/>
      <c r="L188" s="72"/>
    </row>
    <row r="189" spans="1:12" s="66" customFormat="1">
      <c r="A189" s="72"/>
      <c r="B189" s="75"/>
      <c r="D189" s="76"/>
      <c r="K189" s="71"/>
      <c r="L189" s="72"/>
    </row>
    <row r="190" spans="1:12" s="66" customFormat="1">
      <c r="A190" s="72"/>
      <c r="B190" s="75"/>
      <c r="D190" s="76"/>
      <c r="K190" s="71"/>
      <c r="L190" s="72"/>
    </row>
    <row r="191" spans="1:12" s="66" customFormat="1">
      <c r="A191" s="72"/>
      <c r="B191" s="75"/>
      <c r="D191" s="76"/>
      <c r="K191" s="71"/>
      <c r="L191" s="72"/>
    </row>
    <row r="192" spans="1:12" s="66" customFormat="1">
      <c r="A192" s="72"/>
      <c r="B192" s="75"/>
      <c r="D192" s="76"/>
      <c r="K192" s="71"/>
      <c r="L192" s="72"/>
    </row>
    <row r="193" spans="1:12" s="66" customFormat="1">
      <c r="A193" s="72"/>
      <c r="B193" s="75"/>
      <c r="D193" s="76"/>
      <c r="K193" s="71"/>
      <c r="L193" s="72"/>
    </row>
    <row r="194" spans="1:12" s="66" customFormat="1">
      <c r="A194" s="72"/>
      <c r="B194" s="75"/>
      <c r="D194" s="76"/>
      <c r="K194" s="71"/>
      <c r="L194" s="72"/>
    </row>
    <row r="195" spans="1:12" s="66" customFormat="1">
      <c r="A195" s="72"/>
      <c r="B195" s="75"/>
      <c r="D195" s="76"/>
      <c r="K195" s="71"/>
      <c r="L195" s="72"/>
    </row>
    <row r="196" spans="1:12" s="66" customFormat="1">
      <c r="A196" s="72"/>
      <c r="B196" s="75"/>
      <c r="D196" s="76"/>
      <c r="K196" s="71"/>
      <c r="L196" s="72"/>
    </row>
    <row r="197" spans="1:12" s="66" customFormat="1">
      <c r="A197" s="72"/>
      <c r="B197" s="75"/>
      <c r="D197" s="76"/>
      <c r="K197" s="71"/>
      <c r="L197" s="72"/>
    </row>
    <row r="198" spans="1:12" s="66" customFormat="1">
      <c r="A198" s="72"/>
      <c r="B198" s="75"/>
      <c r="D198" s="76"/>
      <c r="K198" s="71"/>
      <c r="L198" s="72"/>
    </row>
    <row r="199" spans="1:12" s="66" customFormat="1">
      <c r="A199" s="72"/>
      <c r="B199" s="75"/>
      <c r="D199" s="76"/>
      <c r="K199" s="71"/>
      <c r="L199" s="72"/>
    </row>
    <row r="200" spans="1:12" s="66" customFormat="1">
      <c r="A200" s="72"/>
      <c r="B200" s="75"/>
      <c r="D200" s="76"/>
      <c r="K200" s="71"/>
      <c r="L200" s="72"/>
    </row>
    <row r="201" spans="1:12" s="66" customFormat="1">
      <c r="A201" s="72"/>
      <c r="B201" s="75"/>
      <c r="D201" s="76"/>
      <c r="K201" s="71"/>
      <c r="L201" s="72"/>
    </row>
    <row r="202" spans="1:12" s="66" customFormat="1">
      <c r="A202" s="72"/>
      <c r="B202" s="75"/>
      <c r="D202" s="76"/>
      <c r="K202" s="71"/>
      <c r="L202" s="72"/>
    </row>
    <row r="203" spans="1:12" s="66" customFormat="1">
      <c r="A203" s="72"/>
      <c r="B203" s="75"/>
      <c r="D203" s="76"/>
      <c r="K203" s="71"/>
      <c r="L203" s="72"/>
    </row>
    <row r="204" spans="1:12" s="66" customFormat="1">
      <c r="A204" s="72"/>
      <c r="B204" s="75"/>
      <c r="D204" s="76"/>
      <c r="K204" s="71"/>
      <c r="L204" s="72"/>
    </row>
    <row r="205" spans="1:12" s="66" customFormat="1">
      <c r="A205" s="72"/>
      <c r="B205" s="75"/>
      <c r="D205" s="76"/>
      <c r="K205" s="71"/>
      <c r="L205" s="72"/>
    </row>
    <row r="206" spans="1:12" s="66" customFormat="1">
      <c r="A206" s="72"/>
      <c r="B206" s="75"/>
      <c r="D206" s="76"/>
      <c r="K206" s="71"/>
      <c r="L206" s="72"/>
    </row>
    <row r="207" spans="1:12" s="66" customFormat="1">
      <c r="A207" s="72"/>
      <c r="B207" s="75"/>
      <c r="D207" s="76"/>
      <c r="K207" s="71"/>
      <c r="L207" s="72"/>
    </row>
    <row r="208" spans="1:12" s="66" customFormat="1">
      <c r="A208" s="72"/>
      <c r="B208" s="75"/>
      <c r="D208" s="76"/>
      <c r="K208" s="71"/>
      <c r="L208" s="72"/>
    </row>
    <row r="209" spans="1:12" s="66" customFormat="1">
      <c r="A209" s="72"/>
      <c r="B209" s="75"/>
      <c r="D209" s="76"/>
      <c r="K209" s="71"/>
      <c r="L209" s="72"/>
    </row>
    <row r="210" spans="1:12" s="66" customFormat="1">
      <c r="A210" s="72"/>
      <c r="B210" s="75"/>
      <c r="D210" s="76"/>
      <c r="K210" s="71"/>
      <c r="L210" s="72"/>
    </row>
    <row r="211" spans="1:12" s="66" customFormat="1">
      <c r="A211" s="72"/>
      <c r="B211" s="75"/>
      <c r="D211" s="76"/>
      <c r="K211" s="71"/>
      <c r="L211" s="72"/>
    </row>
    <row r="212" spans="1:12" s="66" customFormat="1">
      <c r="A212" s="72"/>
      <c r="B212" s="75"/>
      <c r="D212" s="76"/>
      <c r="K212" s="71"/>
      <c r="L212" s="72"/>
    </row>
    <row r="213" spans="1:12" s="66" customFormat="1">
      <c r="A213" s="72"/>
      <c r="B213" s="75"/>
      <c r="D213" s="76"/>
      <c r="K213" s="71"/>
      <c r="L213" s="72"/>
    </row>
    <row r="214" spans="1:12" s="66" customFormat="1">
      <c r="A214" s="72"/>
      <c r="B214" s="75"/>
      <c r="D214" s="76"/>
      <c r="K214" s="71"/>
      <c r="L214" s="72"/>
    </row>
    <row r="215" spans="1:12" s="66" customFormat="1">
      <c r="A215" s="72"/>
      <c r="B215" s="75"/>
      <c r="D215" s="76"/>
      <c r="K215" s="71"/>
      <c r="L215" s="72"/>
    </row>
    <row r="216" spans="1:12" s="66" customFormat="1">
      <c r="A216" s="72"/>
      <c r="B216" s="75"/>
      <c r="D216" s="76"/>
      <c r="K216" s="71"/>
      <c r="L216" s="72"/>
    </row>
    <row r="217" spans="1:12" s="66" customFormat="1">
      <c r="A217" s="72"/>
      <c r="B217" s="75"/>
      <c r="D217" s="76"/>
      <c r="K217" s="71"/>
      <c r="L217" s="72"/>
    </row>
    <row r="218" spans="1:12" s="66" customFormat="1">
      <c r="A218" s="72"/>
      <c r="B218" s="75"/>
      <c r="D218" s="76"/>
      <c r="K218" s="71"/>
      <c r="L218" s="72"/>
    </row>
    <row r="219" spans="1:12" s="66" customFormat="1">
      <c r="A219" s="72"/>
      <c r="B219" s="75"/>
      <c r="D219" s="76"/>
      <c r="K219" s="71"/>
      <c r="L219" s="72"/>
    </row>
    <row r="220" spans="1:12" s="66" customFormat="1">
      <c r="A220" s="72"/>
      <c r="B220" s="75"/>
      <c r="D220" s="76"/>
      <c r="K220" s="71"/>
      <c r="L220" s="72"/>
    </row>
    <row r="221" spans="1:12" s="66" customFormat="1">
      <c r="A221" s="72"/>
      <c r="B221" s="75"/>
      <c r="D221" s="76"/>
      <c r="K221" s="71"/>
      <c r="L221" s="72"/>
    </row>
    <row r="222" spans="1:12" s="66" customFormat="1">
      <c r="A222" s="72"/>
      <c r="B222" s="75"/>
      <c r="D222" s="76"/>
      <c r="K222" s="71"/>
      <c r="L222" s="72"/>
    </row>
    <row r="223" spans="1:12" s="66" customFormat="1">
      <c r="A223" s="72"/>
      <c r="B223" s="75"/>
      <c r="D223" s="76"/>
      <c r="K223" s="71"/>
      <c r="L223" s="72"/>
    </row>
    <row r="224" spans="1:12" s="66" customFormat="1">
      <c r="A224" s="72"/>
      <c r="B224" s="75"/>
      <c r="D224" s="76"/>
      <c r="K224" s="71"/>
      <c r="L224" s="72"/>
    </row>
    <row r="225" spans="1:12" s="66" customFormat="1">
      <c r="A225" s="72"/>
      <c r="B225" s="75"/>
      <c r="D225" s="76"/>
      <c r="K225" s="71"/>
      <c r="L225" s="72"/>
    </row>
    <row r="226" spans="1:12" s="66" customFormat="1">
      <c r="A226" s="72"/>
      <c r="B226" s="75"/>
      <c r="D226" s="76"/>
      <c r="K226" s="71"/>
      <c r="L226" s="72"/>
    </row>
    <row r="227" spans="1:12" s="66" customFormat="1">
      <c r="A227" s="72"/>
      <c r="B227" s="75"/>
      <c r="D227" s="76"/>
      <c r="K227" s="71"/>
      <c r="L227" s="72"/>
    </row>
    <row r="228" spans="1:12" s="66" customFormat="1">
      <c r="A228" s="72"/>
      <c r="B228" s="75"/>
      <c r="D228" s="76"/>
      <c r="K228" s="71"/>
      <c r="L228" s="72"/>
    </row>
    <row r="229" spans="1:12" s="66" customFormat="1">
      <c r="A229" s="72"/>
      <c r="B229" s="75"/>
      <c r="D229" s="76"/>
      <c r="K229" s="71"/>
      <c r="L229" s="72"/>
    </row>
    <row r="230" spans="1:12" s="66" customFormat="1">
      <c r="A230" s="72"/>
      <c r="B230" s="75"/>
      <c r="D230" s="76"/>
      <c r="K230" s="71"/>
      <c r="L230" s="72"/>
    </row>
    <row r="231" spans="1:12" s="66" customFormat="1">
      <c r="A231" s="72"/>
      <c r="B231" s="75"/>
      <c r="D231" s="76"/>
      <c r="K231" s="71"/>
      <c r="L231" s="72"/>
    </row>
    <row r="232" spans="1:12" s="66" customFormat="1">
      <c r="A232" s="72"/>
      <c r="B232" s="75"/>
      <c r="D232" s="76"/>
      <c r="K232" s="71"/>
      <c r="L232" s="72"/>
    </row>
    <row r="233" spans="1:12" s="66" customFormat="1">
      <c r="A233" s="72"/>
      <c r="B233" s="75"/>
      <c r="D233" s="76"/>
      <c r="K233" s="71"/>
      <c r="L233" s="72"/>
    </row>
    <row r="234" spans="1:12" s="66" customFormat="1">
      <c r="A234" s="72"/>
      <c r="B234" s="75"/>
      <c r="D234" s="76"/>
      <c r="K234" s="71"/>
      <c r="L234" s="72"/>
    </row>
    <row r="235" spans="1:12" s="66" customFormat="1">
      <c r="A235" s="72"/>
      <c r="B235" s="75"/>
      <c r="D235" s="76"/>
      <c r="K235" s="71"/>
      <c r="L235" s="72"/>
    </row>
    <row r="236" spans="1:12" s="66" customFormat="1">
      <c r="A236" s="72"/>
      <c r="B236" s="75"/>
      <c r="D236" s="76"/>
      <c r="K236" s="71"/>
      <c r="L236" s="72"/>
    </row>
    <row r="237" spans="1:12" s="66" customFormat="1">
      <c r="A237" s="72"/>
      <c r="B237" s="75"/>
      <c r="D237" s="76"/>
      <c r="K237" s="71"/>
      <c r="L237" s="72"/>
    </row>
    <row r="238" spans="1:12" s="66" customFormat="1">
      <c r="A238" s="72"/>
      <c r="B238" s="75"/>
      <c r="D238" s="76"/>
      <c r="K238" s="71"/>
      <c r="L238" s="72"/>
    </row>
    <row r="239" spans="1:12" s="66" customFormat="1">
      <c r="A239" s="72"/>
      <c r="B239" s="75"/>
      <c r="D239" s="76"/>
      <c r="K239" s="71"/>
      <c r="L239" s="72"/>
    </row>
    <row r="240" spans="1:12" s="66" customFormat="1">
      <c r="A240" s="72"/>
      <c r="B240" s="75"/>
      <c r="D240" s="76"/>
      <c r="K240" s="71"/>
      <c r="L240" s="72"/>
    </row>
    <row r="241" spans="1:12" s="66" customFormat="1">
      <c r="A241" s="72"/>
      <c r="B241" s="75"/>
      <c r="D241" s="76"/>
      <c r="K241" s="71"/>
      <c r="L241" s="72"/>
    </row>
    <row r="242" spans="1:12" s="66" customFormat="1">
      <c r="A242" s="72"/>
      <c r="B242" s="75"/>
      <c r="D242" s="76"/>
      <c r="K242" s="71"/>
      <c r="L242" s="72"/>
    </row>
    <row r="243" spans="1:12" s="66" customFormat="1">
      <c r="A243" s="72"/>
      <c r="B243" s="75"/>
      <c r="D243" s="76"/>
      <c r="K243" s="71"/>
      <c r="L243" s="72"/>
    </row>
    <row r="244" spans="1:12" s="66" customFormat="1">
      <c r="A244" s="72"/>
      <c r="B244" s="75"/>
      <c r="D244" s="76"/>
      <c r="K244" s="71"/>
      <c r="L244" s="72"/>
    </row>
    <row r="245" spans="1:12" s="66" customFormat="1">
      <c r="A245" s="72"/>
      <c r="B245" s="75"/>
      <c r="D245" s="76"/>
      <c r="K245" s="71"/>
      <c r="L245" s="72"/>
    </row>
    <row r="246" spans="1:12" s="66" customFormat="1">
      <c r="A246" s="72"/>
      <c r="B246" s="75"/>
      <c r="D246" s="76"/>
      <c r="K246" s="71"/>
      <c r="L246" s="72"/>
    </row>
    <row r="247" spans="1:12" s="66" customFormat="1">
      <c r="A247" s="72"/>
      <c r="B247" s="75"/>
      <c r="D247" s="76"/>
      <c r="K247" s="71"/>
      <c r="L247" s="72"/>
    </row>
    <row r="248" spans="1:12" s="66" customFormat="1">
      <c r="A248" s="72"/>
      <c r="B248" s="75"/>
      <c r="D248" s="76"/>
      <c r="K248" s="71"/>
      <c r="L248" s="72"/>
    </row>
    <row r="249" spans="1:12" s="66" customFormat="1">
      <c r="A249" s="72"/>
      <c r="B249" s="75"/>
      <c r="D249" s="76"/>
      <c r="K249" s="71"/>
      <c r="L249" s="72"/>
    </row>
    <row r="250" spans="1:12" s="66" customFormat="1">
      <c r="A250" s="72"/>
      <c r="B250" s="75"/>
      <c r="D250" s="76"/>
      <c r="K250" s="71"/>
      <c r="L250" s="72"/>
    </row>
    <row r="251" spans="1:12" s="66" customFormat="1">
      <c r="A251" s="72"/>
      <c r="B251" s="75"/>
      <c r="D251" s="76"/>
      <c r="K251" s="71"/>
      <c r="L251" s="72"/>
    </row>
    <row r="252" spans="1:12" s="66" customFormat="1">
      <c r="A252" s="72"/>
      <c r="B252" s="75"/>
      <c r="D252" s="76"/>
      <c r="K252" s="71"/>
      <c r="L252" s="72"/>
    </row>
    <row r="253" spans="1:12" s="66" customFormat="1">
      <c r="A253" s="72"/>
      <c r="B253" s="75"/>
      <c r="D253" s="76"/>
      <c r="K253" s="71"/>
      <c r="L253" s="72"/>
    </row>
    <row r="254" spans="1:12" s="66" customFormat="1">
      <c r="A254" s="72"/>
      <c r="B254" s="75"/>
      <c r="D254" s="76"/>
      <c r="K254" s="71"/>
      <c r="L254" s="72"/>
    </row>
    <row r="255" spans="1:12" s="66" customFormat="1">
      <c r="A255" s="72"/>
      <c r="B255" s="75"/>
      <c r="D255" s="76"/>
      <c r="K255" s="71"/>
      <c r="L255" s="72"/>
    </row>
    <row r="256" spans="1:12" s="66" customFormat="1">
      <c r="A256" s="72"/>
      <c r="B256" s="75"/>
      <c r="D256" s="76"/>
      <c r="K256" s="71"/>
      <c r="L256" s="72"/>
    </row>
    <row r="257" spans="1:12" s="66" customFormat="1">
      <c r="A257" s="72"/>
      <c r="B257" s="75"/>
      <c r="D257" s="76"/>
      <c r="K257" s="71"/>
      <c r="L257" s="72"/>
    </row>
    <row r="258" spans="1:12" s="66" customFormat="1">
      <c r="A258" s="72"/>
      <c r="B258" s="75"/>
      <c r="D258" s="76"/>
      <c r="K258" s="71"/>
      <c r="L258" s="72"/>
    </row>
    <row r="259" spans="1:12" s="66" customFormat="1">
      <c r="A259" s="72"/>
      <c r="B259" s="75"/>
      <c r="D259" s="76"/>
      <c r="K259" s="71"/>
      <c r="L259" s="72"/>
    </row>
    <row r="260" spans="1:12" s="66" customFormat="1">
      <c r="A260" s="72"/>
      <c r="B260" s="75"/>
      <c r="D260" s="76"/>
      <c r="K260" s="71"/>
      <c r="L260" s="72"/>
    </row>
    <row r="261" spans="1:12" s="66" customFormat="1">
      <c r="A261" s="72"/>
      <c r="B261" s="75"/>
      <c r="D261" s="76"/>
      <c r="K261" s="71"/>
      <c r="L261" s="72"/>
    </row>
    <row r="262" spans="1:12" s="66" customFormat="1">
      <c r="A262" s="72"/>
      <c r="B262" s="75"/>
      <c r="D262" s="76"/>
      <c r="K262" s="71"/>
      <c r="L262" s="72"/>
    </row>
    <row r="263" spans="1:12" s="66" customFormat="1">
      <c r="A263" s="72"/>
      <c r="B263" s="75"/>
      <c r="D263" s="76"/>
      <c r="K263" s="71"/>
      <c r="L263" s="72"/>
    </row>
    <row r="264" spans="1:12" s="66" customFormat="1">
      <c r="A264" s="72"/>
      <c r="B264" s="75"/>
      <c r="D264" s="76"/>
      <c r="K264" s="71"/>
      <c r="L264" s="72"/>
    </row>
    <row r="265" spans="1:12" s="66" customFormat="1">
      <c r="A265" s="72"/>
      <c r="B265" s="75"/>
      <c r="D265" s="76"/>
      <c r="K265" s="71"/>
      <c r="L265" s="72"/>
    </row>
    <row r="266" spans="1:12" s="66" customFormat="1">
      <c r="A266" s="72"/>
      <c r="B266" s="75"/>
      <c r="D266" s="76"/>
      <c r="K266" s="71"/>
      <c r="L266" s="72"/>
    </row>
    <row r="267" spans="1:12" s="66" customFormat="1">
      <c r="A267" s="72"/>
      <c r="B267" s="75"/>
      <c r="D267" s="76"/>
      <c r="K267" s="71"/>
      <c r="L267" s="72"/>
    </row>
    <row r="268" spans="1:12" s="66" customFormat="1">
      <c r="A268" s="72"/>
      <c r="B268" s="75"/>
      <c r="D268" s="76"/>
      <c r="K268" s="71"/>
      <c r="L268" s="72"/>
    </row>
    <row r="269" spans="1:12" s="66" customFormat="1">
      <c r="A269" s="72"/>
      <c r="B269" s="75"/>
      <c r="D269" s="76"/>
      <c r="K269" s="71"/>
      <c r="L269" s="72"/>
    </row>
    <row r="270" spans="1:12" s="66" customFormat="1">
      <c r="A270" s="72"/>
      <c r="B270" s="75"/>
      <c r="D270" s="76"/>
      <c r="K270" s="71"/>
      <c r="L270" s="72"/>
    </row>
    <row r="271" spans="1:12" s="66" customFormat="1">
      <c r="A271" s="72"/>
      <c r="B271" s="75"/>
      <c r="D271" s="76"/>
      <c r="K271" s="71"/>
      <c r="L271" s="72"/>
    </row>
    <row r="272" spans="1:12" s="66" customFormat="1">
      <c r="A272" s="72"/>
      <c r="B272" s="75"/>
      <c r="D272" s="76"/>
      <c r="K272" s="71"/>
      <c r="L272" s="72"/>
    </row>
    <row r="273" spans="1:12" s="66" customFormat="1">
      <c r="A273" s="72"/>
      <c r="B273" s="75"/>
      <c r="D273" s="76"/>
      <c r="K273" s="71"/>
      <c r="L273" s="72"/>
    </row>
    <row r="274" spans="1:12" s="66" customFormat="1">
      <c r="A274" s="72"/>
      <c r="B274" s="75"/>
      <c r="D274" s="76"/>
      <c r="K274" s="71"/>
      <c r="L274" s="72"/>
    </row>
    <row r="275" spans="1:12" s="66" customFormat="1">
      <c r="A275" s="72"/>
      <c r="B275" s="75"/>
      <c r="D275" s="76"/>
      <c r="K275" s="71"/>
      <c r="L275" s="72"/>
    </row>
    <row r="276" spans="1:12" s="66" customFormat="1">
      <c r="A276" s="72"/>
      <c r="B276" s="75"/>
      <c r="D276" s="76"/>
      <c r="K276" s="71"/>
      <c r="L276" s="72"/>
    </row>
    <row r="277" spans="1:12" s="66" customFormat="1">
      <c r="A277" s="72"/>
      <c r="B277" s="75"/>
      <c r="D277" s="76"/>
      <c r="K277" s="71"/>
      <c r="L277" s="72"/>
    </row>
    <row r="278" spans="1:12" s="66" customFormat="1">
      <c r="A278" s="72"/>
      <c r="B278" s="75"/>
      <c r="D278" s="76"/>
      <c r="K278" s="71"/>
      <c r="L278" s="72"/>
    </row>
    <row r="279" spans="1:12" s="66" customFormat="1">
      <c r="A279" s="72"/>
      <c r="B279" s="75"/>
      <c r="D279" s="76"/>
      <c r="K279" s="71"/>
      <c r="L279" s="72"/>
    </row>
    <row r="280" spans="1:12" s="66" customFormat="1">
      <c r="A280" s="72"/>
      <c r="B280" s="75"/>
      <c r="D280" s="76"/>
      <c r="K280" s="71"/>
      <c r="L280" s="72"/>
    </row>
    <row r="281" spans="1:12" s="66" customFormat="1">
      <c r="A281" s="72"/>
      <c r="B281" s="75"/>
      <c r="D281" s="76"/>
      <c r="K281" s="71"/>
      <c r="L281" s="72"/>
    </row>
    <row r="282" spans="1:12" s="66" customFormat="1">
      <c r="A282" s="72"/>
      <c r="B282" s="75"/>
      <c r="D282" s="76"/>
      <c r="K282" s="71"/>
      <c r="L282" s="72"/>
    </row>
    <row r="283" spans="1:12" s="66" customFormat="1">
      <c r="A283" s="72"/>
      <c r="B283" s="75"/>
      <c r="D283" s="76"/>
      <c r="K283" s="71"/>
      <c r="L283" s="72"/>
    </row>
    <row r="284" spans="1:12" s="66" customFormat="1">
      <c r="A284" s="72"/>
      <c r="B284" s="75"/>
      <c r="D284" s="76"/>
      <c r="K284" s="71"/>
      <c r="L284" s="72"/>
    </row>
    <row r="285" spans="1:12" s="66" customFormat="1">
      <c r="A285" s="72"/>
      <c r="B285" s="75"/>
      <c r="D285" s="76"/>
      <c r="K285" s="71"/>
      <c r="L285" s="72"/>
    </row>
    <row r="286" spans="1:12" s="66" customFormat="1">
      <c r="A286" s="72"/>
      <c r="B286" s="75"/>
      <c r="D286" s="76"/>
      <c r="K286" s="71"/>
      <c r="L286" s="72"/>
    </row>
    <row r="287" spans="1:12" s="66" customFormat="1">
      <c r="A287" s="72"/>
      <c r="B287" s="75"/>
      <c r="D287" s="76"/>
      <c r="K287" s="71"/>
      <c r="L287" s="72"/>
    </row>
    <row r="288" spans="1:12" s="66" customFormat="1">
      <c r="A288" s="72"/>
      <c r="B288" s="75"/>
      <c r="D288" s="76"/>
      <c r="K288" s="71"/>
      <c r="L288" s="72"/>
    </row>
    <row r="289" spans="1:12" s="66" customFormat="1">
      <c r="A289" s="72"/>
      <c r="B289" s="75"/>
      <c r="D289" s="76"/>
      <c r="K289" s="71"/>
      <c r="L289" s="72"/>
    </row>
    <row r="290" spans="1:12" s="66" customFormat="1">
      <c r="A290" s="72"/>
      <c r="B290" s="75"/>
      <c r="D290" s="76"/>
      <c r="K290" s="71"/>
      <c r="L290" s="72"/>
    </row>
    <row r="291" spans="1:12" s="66" customFormat="1">
      <c r="A291" s="72"/>
      <c r="B291" s="75"/>
      <c r="D291" s="76"/>
      <c r="K291" s="71"/>
      <c r="L291" s="72"/>
    </row>
    <row r="292" spans="1:12" s="66" customFormat="1">
      <c r="A292" s="72"/>
      <c r="B292" s="75"/>
      <c r="D292" s="76"/>
      <c r="K292" s="71"/>
      <c r="L292" s="72"/>
    </row>
    <row r="293" spans="1:12" s="66" customFormat="1">
      <c r="A293" s="72"/>
      <c r="B293" s="75"/>
      <c r="D293" s="76"/>
      <c r="K293" s="71"/>
      <c r="L293" s="72"/>
    </row>
    <row r="294" spans="1:12" s="66" customFormat="1">
      <c r="A294" s="72"/>
      <c r="B294" s="75"/>
      <c r="D294" s="76"/>
      <c r="K294" s="71"/>
      <c r="L294" s="72"/>
    </row>
    <row r="295" spans="1:12" s="66" customFormat="1">
      <c r="A295" s="72"/>
      <c r="B295" s="75"/>
      <c r="D295" s="76"/>
      <c r="K295" s="71"/>
      <c r="L295" s="72"/>
    </row>
    <row r="296" spans="1:12" s="66" customFormat="1">
      <c r="A296" s="72"/>
      <c r="B296" s="75"/>
      <c r="D296" s="76"/>
      <c r="K296" s="71"/>
      <c r="L296" s="72"/>
    </row>
    <row r="297" spans="1:12" s="66" customFormat="1">
      <c r="A297" s="72"/>
      <c r="B297" s="75"/>
      <c r="D297" s="76"/>
      <c r="K297" s="71"/>
      <c r="L297" s="72"/>
    </row>
    <row r="298" spans="1:12" s="66" customFormat="1">
      <c r="A298" s="72"/>
      <c r="B298" s="75"/>
      <c r="D298" s="76"/>
      <c r="K298" s="71"/>
      <c r="L298" s="72"/>
    </row>
    <row r="299" spans="1:12" s="66" customFormat="1">
      <c r="A299" s="72"/>
      <c r="B299" s="75"/>
      <c r="D299" s="76"/>
      <c r="K299" s="71"/>
      <c r="L299" s="72"/>
    </row>
    <row r="300" spans="1:12" s="66" customFormat="1">
      <c r="A300" s="72"/>
      <c r="B300" s="75"/>
      <c r="D300" s="76"/>
      <c r="K300" s="71"/>
      <c r="L300" s="72"/>
    </row>
    <row r="301" spans="1:12" s="66" customFormat="1">
      <c r="A301" s="72"/>
      <c r="B301" s="75"/>
      <c r="D301" s="76"/>
      <c r="K301" s="71"/>
      <c r="L301" s="72"/>
    </row>
    <row r="302" spans="1:12" s="66" customFormat="1">
      <c r="A302" s="72"/>
      <c r="B302" s="75"/>
      <c r="D302" s="76"/>
      <c r="K302" s="71"/>
      <c r="L302" s="72"/>
    </row>
    <row r="303" spans="1:12" s="66" customFormat="1">
      <c r="A303" s="72"/>
      <c r="B303" s="75"/>
      <c r="D303" s="76"/>
      <c r="K303" s="71"/>
      <c r="L303" s="72"/>
    </row>
    <row r="304" spans="1:12" s="66" customFormat="1">
      <c r="A304" s="72"/>
      <c r="B304" s="75"/>
      <c r="D304" s="76"/>
      <c r="K304" s="71"/>
      <c r="L304" s="72"/>
    </row>
    <row r="305" spans="1:12" s="66" customFormat="1">
      <c r="A305" s="72"/>
      <c r="B305" s="75"/>
      <c r="D305" s="76"/>
      <c r="K305" s="71"/>
      <c r="L305" s="72"/>
    </row>
    <row r="306" spans="1:12" s="66" customFormat="1">
      <c r="A306" s="72"/>
      <c r="B306" s="75"/>
      <c r="D306" s="76"/>
      <c r="K306" s="71"/>
      <c r="L306" s="72"/>
    </row>
    <row r="307" spans="1:12" s="66" customFormat="1">
      <c r="A307" s="72"/>
      <c r="B307" s="75"/>
      <c r="D307" s="76"/>
      <c r="K307" s="71"/>
      <c r="L307" s="72"/>
    </row>
    <row r="308" spans="1:12" s="66" customFormat="1">
      <c r="A308" s="72"/>
      <c r="B308" s="75"/>
      <c r="D308" s="76"/>
      <c r="K308" s="71"/>
      <c r="L308" s="72"/>
    </row>
    <row r="309" spans="1:12" s="66" customFormat="1">
      <c r="A309" s="72"/>
      <c r="B309" s="75"/>
      <c r="D309" s="76"/>
      <c r="K309" s="71"/>
      <c r="L309" s="72"/>
    </row>
    <row r="310" spans="1:12" s="66" customFormat="1">
      <c r="A310" s="72"/>
      <c r="B310" s="75"/>
      <c r="D310" s="76"/>
      <c r="K310" s="71"/>
      <c r="L310" s="72"/>
    </row>
    <row r="311" spans="1:12" s="66" customFormat="1">
      <c r="A311" s="72"/>
      <c r="B311" s="75"/>
      <c r="D311" s="76"/>
      <c r="K311" s="71"/>
      <c r="L311" s="72"/>
    </row>
    <row r="312" spans="1:12" s="66" customFormat="1">
      <c r="A312" s="72"/>
      <c r="B312" s="75"/>
      <c r="D312" s="76"/>
      <c r="K312" s="71"/>
      <c r="L312" s="72"/>
    </row>
    <row r="313" spans="1:12" s="66" customFormat="1">
      <c r="A313" s="72"/>
      <c r="B313" s="75"/>
      <c r="D313" s="76"/>
      <c r="K313" s="71"/>
      <c r="L313" s="72"/>
    </row>
    <row r="314" spans="1:12" s="66" customFormat="1">
      <c r="A314" s="72"/>
      <c r="B314" s="75"/>
      <c r="D314" s="76"/>
      <c r="K314" s="71"/>
      <c r="L314" s="72"/>
    </row>
    <row r="315" spans="1:12" s="66" customFormat="1">
      <c r="A315" s="72"/>
      <c r="B315" s="75"/>
      <c r="D315" s="76"/>
      <c r="K315" s="71"/>
      <c r="L315" s="72"/>
    </row>
    <row r="316" spans="1:12" s="66" customFormat="1">
      <c r="A316" s="72"/>
      <c r="B316" s="75"/>
      <c r="D316" s="76"/>
      <c r="K316" s="71"/>
      <c r="L316" s="72"/>
    </row>
    <row r="317" spans="1:12" s="66" customFormat="1">
      <c r="A317" s="72"/>
      <c r="B317" s="75"/>
      <c r="D317" s="76"/>
      <c r="K317" s="71"/>
      <c r="L317" s="72"/>
    </row>
    <row r="318" spans="1:12" s="66" customFormat="1">
      <c r="A318" s="72"/>
      <c r="B318" s="75"/>
      <c r="D318" s="76"/>
      <c r="K318" s="71"/>
      <c r="L318" s="72"/>
    </row>
    <row r="319" spans="1:12" s="66" customFormat="1">
      <c r="A319" s="72"/>
      <c r="B319" s="75"/>
      <c r="D319" s="76"/>
      <c r="K319" s="71"/>
      <c r="L319" s="72"/>
    </row>
    <row r="320" spans="1:12" s="66" customFormat="1">
      <c r="A320" s="72"/>
      <c r="B320" s="75"/>
      <c r="D320" s="76"/>
      <c r="K320" s="71"/>
      <c r="L320" s="72"/>
    </row>
    <row r="321" spans="1:12" s="66" customFormat="1">
      <c r="A321" s="72"/>
      <c r="B321" s="75"/>
      <c r="D321" s="76"/>
      <c r="K321" s="71"/>
      <c r="L321" s="72"/>
    </row>
    <row r="322" spans="1:12" s="66" customFormat="1">
      <c r="A322" s="72"/>
      <c r="B322" s="75"/>
      <c r="D322" s="76"/>
      <c r="K322" s="71"/>
      <c r="L322" s="72"/>
    </row>
    <row r="323" spans="1:12" s="66" customFormat="1">
      <c r="A323" s="72"/>
      <c r="B323" s="75"/>
      <c r="D323" s="76"/>
      <c r="K323" s="71"/>
      <c r="L323" s="72"/>
    </row>
    <row r="324" spans="1:12" s="66" customFormat="1">
      <c r="A324" s="72"/>
      <c r="B324" s="75"/>
      <c r="D324" s="76"/>
      <c r="K324" s="71"/>
      <c r="L324" s="72"/>
    </row>
    <row r="325" spans="1:12" s="66" customFormat="1">
      <c r="A325" s="72"/>
      <c r="B325" s="75"/>
      <c r="D325" s="76"/>
      <c r="K325" s="71"/>
      <c r="L325" s="72"/>
    </row>
    <row r="326" spans="1:12" s="66" customFormat="1">
      <c r="A326" s="72"/>
      <c r="B326" s="75"/>
      <c r="D326" s="76"/>
      <c r="K326" s="71"/>
      <c r="L326" s="72"/>
    </row>
    <row r="327" spans="1:12" s="66" customFormat="1">
      <c r="A327" s="72"/>
      <c r="B327" s="75"/>
      <c r="D327" s="76"/>
      <c r="K327" s="71"/>
      <c r="L327" s="72"/>
    </row>
    <row r="328" spans="1:12" s="66" customFormat="1">
      <c r="A328" s="72"/>
      <c r="B328" s="75"/>
      <c r="D328" s="76"/>
      <c r="K328" s="71"/>
      <c r="L328" s="72"/>
    </row>
    <row r="329" spans="1:12" s="66" customFormat="1">
      <c r="A329" s="72"/>
      <c r="B329" s="75"/>
      <c r="D329" s="76"/>
      <c r="K329" s="71"/>
      <c r="L329" s="72"/>
    </row>
    <row r="330" spans="1:12" s="66" customFormat="1">
      <c r="A330" s="72"/>
      <c r="B330" s="75"/>
      <c r="D330" s="76"/>
      <c r="K330" s="71"/>
      <c r="L330" s="72"/>
    </row>
    <row r="331" spans="1:12" s="66" customFormat="1">
      <c r="A331" s="72"/>
      <c r="B331" s="75"/>
      <c r="D331" s="76"/>
      <c r="K331" s="71"/>
      <c r="L331" s="72"/>
    </row>
    <row r="332" spans="1:12" s="66" customFormat="1">
      <c r="A332" s="72"/>
      <c r="B332" s="75"/>
      <c r="D332" s="76"/>
      <c r="K332" s="71"/>
      <c r="L332" s="72"/>
    </row>
    <row r="333" spans="1:12" s="66" customFormat="1">
      <c r="A333" s="72"/>
      <c r="B333" s="75"/>
      <c r="D333" s="76"/>
      <c r="K333" s="71"/>
      <c r="L333" s="72"/>
    </row>
    <row r="334" spans="1:12" s="66" customFormat="1">
      <c r="A334" s="72"/>
      <c r="B334" s="75"/>
      <c r="D334" s="76"/>
      <c r="K334" s="71"/>
      <c r="L334" s="72"/>
    </row>
    <row r="335" spans="1:12" s="66" customFormat="1">
      <c r="A335" s="72"/>
      <c r="B335" s="75"/>
      <c r="D335" s="76"/>
      <c r="K335" s="71"/>
      <c r="L335" s="72"/>
    </row>
    <row r="336" spans="1:12" s="66" customFormat="1">
      <c r="A336" s="72"/>
      <c r="B336" s="75"/>
      <c r="D336" s="76"/>
      <c r="K336" s="71"/>
      <c r="L336" s="72"/>
    </row>
    <row r="337" spans="1:12" s="66" customFormat="1">
      <c r="A337" s="72"/>
      <c r="B337" s="75"/>
      <c r="D337" s="76"/>
      <c r="K337" s="71"/>
      <c r="L337" s="72"/>
    </row>
    <row r="338" spans="1:12" s="66" customFormat="1">
      <c r="A338" s="72"/>
      <c r="B338" s="75"/>
      <c r="D338" s="76"/>
      <c r="K338" s="71"/>
      <c r="L338" s="72"/>
    </row>
    <row r="339" spans="1:12" s="66" customFormat="1">
      <c r="A339" s="72"/>
      <c r="B339" s="75"/>
      <c r="D339" s="76"/>
      <c r="K339" s="71"/>
      <c r="L339" s="72"/>
    </row>
    <row r="340" spans="1:12" s="66" customFormat="1">
      <c r="A340" s="72"/>
      <c r="B340" s="75"/>
      <c r="D340" s="76"/>
      <c r="K340" s="71"/>
      <c r="L340" s="72"/>
    </row>
    <row r="341" spans="1:12" s="66" customFormat="1">
      <c r="A341" s="72"/>
      <c r="B341" s="75"/>
      <c r="D341" s="76"/>
      <c r="K341" s="71"/>
      <c r="L341" s="72"/>
    </row>
    <row r="342" spans="1:12" s="66" customFormat="1">
      <c r="A342" s="72"/>
      <c r="B342" s="75"/>
      <c r="D342" s="76"/>
      <c r="K342" s="71"/>
      <c r="L342" s="72"/>
    </row>
    <row r="343" spans="1:12" s="66" customFormat="1">
      <c r="A343" s="72"/>
      <c r="B343" s="75"/>
      <c r="D343" s="76"/>
      <c r="K343" s="71"/>
      <c r="L343" s="72"/>
    </row>
    <row r="344" spans="1:12" s="66" customFormat="1">
      <c r="A344" s="72"/>
      <c r="B344" s="75"/>
      <c r="D344" s="76"/>
      <c r="K344" s="71"/>
      <c r="L344" s="72"/>
    </row>
    <row r="345" spans="1:12" s="66" customFormat="1">
      <c r="A345" s="72"/>
      <c r="B345" s="75"/>
      <c r="D345" s="76"/>
      <c r="K345" s="71"/>
      <c r="L345" s="72"/>
    </row>
    <row r="346" spans="1:12" s="66" customFormat="1">
      <c r="A346" s="72"/>
      <c r="B346" s="75"/>
      <c r="D346" s="76"/>
      <c r="K346" s="71"/>
      <c r="L346" s="72"/>
    </row>
    <row r="347" spans="1:12" s="66" customFormat="1">
      <c r="A347" s="72"/>
      <c r="B347" s="75"/>
      <c r="D347" s="76"/>
      <c r="K347" s="71"/>
      <c r="L347" s="72"/>
    </row>
    <row r="348" spans="1:12" s="66" customFormat="1">
      <c r="A348" s="72"/>
      <c r="B348" s="75"/>
      <c r="D348" s="76"/>
      <c r="K348" s="71"/>
      <c r="L348" s="72"/>
    </row>
    <row r="349" spans="1:12" s="66" customFormat="1">
      <c r="A349" s="72"/>
      <c r="B349" s="75"/>
      <c r="D349" s="76"/>
      <c r="K349" s="71"/>
      <c r="L349" s="72"/>
    </row>
    <row r="350" spans="1:12" s="66" customFormat="1">
      <c r="A350" s="72"/>
      <c r="B350" s="75"/>
      <c r="D350" s="76"/>
      <c r="K350" s="71"/>
      <c r="L350" s="72"/>
    </row>
    <row r="351" spans="1:12" s="66" customFormat="1">
      <c r="A351" s="72"/>
      <c r="B351" s="75"/>
      <c r="D351" s="76"/>
      <c r="K351" s="71"/>
      <c r="L351" s="72"/>
    </row>
    <row r="352" spans="1:12" s="66" customFormat="1">
      <c r="A352" s="72"/>
      <c r="B352" s="75"/>
      <c r="D352" s="76"/>
      <c r="K352" s="71"/>
      <c r="L352" s="72"/>
    </row>
    <row r="353" spans="1:12" s="66" customFormat="1">
      <c r="A353" s="72"/>
      <c r="B353" s="75"/>
      <c r="D353" s="76"/>
      <c r="K353" s="71"/>
      <c r="L353" s="72"/>
    </row>
    <row r="354" spans="1:12" s="66" customFormat="1">
      <c r="A354" s="72"/>
      <c r="B354" s="75"/>
      <c r="D354" s="76"/>
      <c r="K354" s="71"/>
      <c r="L354" s="72"/>
    </row>
    <row r="355" spans="1:12" s="66" customFormat="1">
      <c r="A355" s="72"/>
      <c r="B355" s="75"/>
      <c r="D355" s="76"/>
      <c r="K355" s="71"/>
      <c r="L355" s="72"/>
    </row>
    <row r="356" spans="1:12" s="66" customFormat="1">
      <c r="A356" s="72"/>
      <c r="B356" s="75"/>
      <c r="D356" s="76"/>
      <c r="K356" s="71"/>
      <c r="L356" s="72"/>
    </row>
    <row r="357" spans="1:12" s="66" customFormat="1">
      <c r="A357" s="72"/>
      <c r="B357" s="75"/>
      <c r="D357" s="76"/>
      <c r="K357" s="71"/>
      <c r="L357" s="72"/>
    </row>
    <row r="358" spans="1:12" s="66" customFormat="1">
      <c r="A358" s="72"/>
      <c r="B358" s="75"/>
      <c r="D358" s="76"/>
      <c r="K358" s="71"/>
      <c r="L358" s="72"/>
    </row>
    <row r="359" spans="1:12" s="66" customFormat="1">
      <c r="A359" s="72"/>
      <c r="B359" s="75"/>
      <c r="D359" s="76"/>
      <c r="K359" s="71"/>
      <c r="L359" s="72"/>
    </row>
    <row r="360" spans="1:12" s="66" customFormat="1">
      <c r="A360" s="72"/>
      <c r="B360" s="75"/>
      <c r="D360" s="76"/>
      <c r="K360" s="71"/>
      <c r="L360" s="72"/>
    </row>
    <row r="361" spans="1:12" s="66" customFormat="1">
      <c r="A361" s="72"/>
      <c r="B361" s="75"/>
      <c r="D361" s="76"/>
      <c r="K361" s="71"/>
      <c r="L361" s="72"/>
    </row>
    <row r="362" spans="1:12" s="66" customFormat="1">
      <c r="A362" s="72"/>
      <c r="B362" s="75"/>
      <c r="D362" s="76"/>
      <c r="K362" s="71"/>
      <c r="L362" s="72"/>
    </row>
    <row r="363" spans="1:12" s="66" customFormat="1">
      <c r="A363" s="72"/>
      <c r="B363" s="75"/>
      <c r="D363" s="76"/>
      <c r="K363" s="71"/>
      <c r="L363" s="72"/>
    </row>
    <row r="364" spans="1:12" s="66" customFormat="1">
      <c r="A364" s="72"/>
      <c r="B364" s="75"/>
      <c r="D364" s="76"/>
      <c r="K364" s="71"/>
      <c r="L364" s="72"/>
    </row>
    <row r="365" spans="1:12" s="66" customFormat="1">
      <c r="A365" s="72"/>
      <c r="B365" s="75"/>
      <c r="D365" s="76"/>
      <c r="K365" s="71"/>
      <c r="L365" s="72"/>
    </row>
    <row r="366" spans="1:12" s="66" customFormat="1">
      <c r="A366" s="72"/>
      <c r="B366" s="75"/>
      <c r="D366" s="76"/>
      <c r="K366" s="71"/>
      <c r="L366" s="72"/>
    </row>
    <row r="367" spans="1:12" s="66" customFormat="1">
      <c r="A367" s="72"/>
      <c r="B367" s="75"/>
      <c r="D367" s="76"/>
      <c r="K367" s="71"/>
      <c r="L367" s="72"/>
    </row>
    <row r="368" spans="1:12" s="66" customFormat="1">
      <c r="A368" s="72"/>
      <c r="B368" s="75"/>
      <c r="D368" s="76"/>
      <c r="K368" s="71"/>
      <c r="L368" s="72"/>
    </row>
    <row r="369" spans="1:12" s="66" customFormat="1">
      <c r="A369" s="72"/>
      <c r="B369" s="75"/>
      <c r="D369" s="76"/>
      <c r="K369" s="71"/>
      <c r="L369" s="72"/>
    </row>
    <row r="370" spans="1:12" s="66" customFormat="1">
      <c r="A370" s="72"/>
      <c r="B370" s="75"/>
      <c r="D370" s="76"/>
      <c r="K370" s="71"/>
      <c r="L370" s="72"/>
    </row>
    <row r="371" spans="1:12" s="66" customFormat="1">
      <c r="A371" s="72"/>
      <c r="B371" s="75"/>
      <c r="D371" s="76"/>
      <c r="K371" s="71"/>
      <c r="L371" s="72"/>
    </row>
    <row r="372" spans="1:12" s="66" customFormat="1">
      <c r="A372" s="72"/>
      <c r="B372" s="75"/>
      <c r="D372" s="76"/>
      <c r="K372" s="71"/>
      <c r="L372" s="72"/>
    </row>
    <row r="373" spans="1:12" s="66" customFormat="1">
      <c r="A373" s="72"/>
      <c r="B373" s="75"/>
      <c r="D373" s="76"/>
      <c r="K373" s="71"/>
      <c r="L373" s="72"/>
    </row>
    <row r="374" spans="1:12" s="66" customFormat="1">
      <c r="A374" s="72"/>
      <c r="B374" s="75"/>
      <c r="D374" s="76"/>
      <c r="K374" s="71"/>
      <c r="L374" s="72"/>
    </row>
    <row r="375" spans="1:12" s="66" customFormat="1">
      <c r="A375" s="72"/>
      <c r="B375" s="75"/>
      <c r="D375" s="76"/>
      <c r="K375" s="71"/>
      <c r="L375" s="72"/>
    </row>
    <row r="376" spans="1:12" s="66" customFormat="1">
      <c r="A376" s="72"/>
      <c r="B376" s="75"/>
      <c r="D376" s="76"/>
      <c r="K376" s="71"/>
      <c r="L376" s="72"/>
    </row>
    <row r="377" spans="1:12" s="66" customFormat="1">
      <c r="A377" s="72"/>
      <c r="B377" s="75"/>
      <c r="D377" s="76"/>
      <c r="K377" s="71"/>
      <c r="L377" s="72"/>
    </row>
    <row r="378" spans="1:12" s="66" customFormat="1">
      <c r="A378" s="72"/>
      <c r="B378" s="75"/>
      <c r="D378" s="76"/>
      <c r="K378" s="71"/>
      <c r="L378" s="72"/>
    </row>
    <row r="379" spans="1:12" s="66" customFormat="1">
      <c r="A379" s="72"/>
      <c r="B379" s="75"/>
      <c r="D379" s="76"/>
      <c r="K379" s="71"/>
      <c r="L379" s="72"/>
    </row>
    <row r="380" spans="1:12" s="66" customFormat="1">
      <c r="A380" s="72"/>
      <c r="B380" s="75"/>
      <c r="D380" s="76"/>
      <c r="K380" s="71"/>
      <c r="L380" s="72"/>
    </row>
    <row r="381" spans="1:12" s="66" customFormat="1">
      <c r="A381" s="72"/>
      <c r="B381" s="75"/>
      <c r="D381" s="76"/>
      <c r="K381" s="71"/>
      <c r="L381" s="72"/>
    </row>
    <row r="382" spans="1:12" s="66" customFormat="1">
      <c r="A382" s="72"/>
      <c r="B382" s="75"/>
      <c r="D382" s="76"/>
      <c r="K382" s="71"/>
      <c r="L382" s="72"/>
    </row>
    <row r="383" spans="1:12" s="66" customFormat="1">
      <c r="A383" s="72"/>
      <c r="B383" s="75"/>
      <c r="D383" s="76"/>
      <c r="K383" s="71"/>
      <c r="L383" s="72"/>
    </row>
    <row r="384" spans="1:12" s="66" customFormat="1">
      <c r="A384" s="72"/>
      <c r="B384" s="75"/>
      <c r="D384" s="76"/>
      <c r="K384" s="71"/>
      <c r="L384" s="72"/>
    </row>
    <row r="385" spans="1:12" s="66" customFormat="1">
      <c r="A385" s="72"/>
      <c r="B385" s="75"/>
      <c r="D385" s="76"/>
      <c r="K385" s="71"/>
      <c r="L385" s="72"/>
    </row>
    <row r="386" spans="1:12" s="66" customFormat="1">
      <c r="A386" s="72"/>
      <c r="B386" s="75"/>
      <c r="D386" s="76"/>
      <c r="K386" s="71"/>
      <c r="L386" s="72"/>
    </row>
    <row r="387" spans="1:12" s="66" customFormat="1">
      <c r="A387" s="72"/>
      <c r="B387" s="75"/>
      <c r="D387" s="76"/>
      <c r="K387" s="71"/>
      <c r="L387" s="72"/>
    </row>
    <row r="388" spans="1:12" s="66" customFormat="1">
      <c r="A388" s="72"/>
      <c r="B388" s="75"/>
      <c r="D388" s="76"/>
      <c r="K388" s="71"/>
      <c r="L388" s="72"/>
    </row>
    <row r="389" spans="1:12" s="66" customFormat="1">
      <c r="A389" s="72"/>
      <c r="B389" s="75"/>
      <c r="D389" s="76"/>
      <c r="K389" s="71"/>
      <c r="L389" s="72"/>
    </row>
    <row r="390" spans="1:12" s="66" customFormat="1">
      <c r="A390" s="72"/>
      <c r="B390" s="75"/>
      <c r="D390" s="76"/>
      <c r="K390" s="71"/>
      <c r="L390" s="72"/>
    </row>
    <row r="391" spans="1:12" s="66" customFormat="1">
      <c r="A391" s="72"/>
      <c r="B391" s="75"/>
      <c r="D391" s="76"/>
      <c r="K391" s="71"/>
      <c r="L391" s="72"/>
    </row>
    <row r="392" spans="1:12" s="66" customFormat="1">
      <c r="A392" s="72"/>
      <c r="B392" s="75"/>
      <c r="D392" s="76"/>
      <c r="K392" s="71"/>
      <c r="L392" s="72"/>
    </row>
    <row r="393" spans="1:12" s="66" customFormat="1">
      <c r="A393" s="72"/>
      <c r="B393" s="75"/>
      <c r="D393" s="76"/>
      <c r="K393" s="71"/>
      <c r="L393" s="72"/>
    </row>
    <row r="394" spans="1:12" s="66" customFormat="1">
      <c r="A394" s="72"/>
      <c r="B394" s="75"/>
      <c r="D394" s="76"/>
      <c r="K394" s="71"/>
      <c r="L394" s="72"/>
    </row>
    <row r="395" spans="1:12" s="66" customFormat="1">
      <c r="A395" s="72"/>
      <c r="B395" s="75"/>
      <c r="D395" s="76"/>
      <c r="K395" s="71"/>
      <c r="L395" s="72"/>
    </row>
    <row r="396" spans="1:12" s="66" customFormat="1">
      <c r="A396" s="72"/>
      <c r="B396" s="75"/>
      <c r="D396" s="76"/>
      <c r="K396" s="71"/>
      <c r="L396" s="72"/>
    </row>
    <row r="397" spans="1:12" s="66" customFormat="1">
      <c r="A397" s="72"/>
      <c r="B397" s="75"/>
      <c r="D397" s="76"/>
      <c r="K397" s="71"/>
      <c r="L397" s="72"/>
    </row>
    <row r="398" spans="1:12" s="66" customFormat="1">
      <c r="A398" s="72"/>
      <c r="B398" s="75"/>
      <c r="D398" s="76"/>
      <c r="K398" s="71"/>
      <c r="L398" s="72"/>
    </row>
    <row r="399" spans="1:12" s="66" customFormat="1">
      <c r="A399" s="72"/>
      <c r="B399" s="75"/>
      <c r="D399" s="76"/>
      <c r="K399" s="71"/>
      <c r="L399" s="72"/>
    </row>
    <row r="400" spans="1:12" s="66" customFormat="1">
      <c r="A400" s="72"/>
      <c r="B400" s="75"/>
      <c r="D400" s="76"/>
      <c r="K400" s="71"/>
      <c r="L400" s="72"/>
    </row>
    <row r="401" spans="1:12" s="66" customFormat="1">
      <c r="A401" s="72"/>
      <c r="B401" s="75"/>
      <c r="D401" s="76"/>
      <c r="K401" s="71"/>
      <c r="L401" s="72"/>
    </row>
    <row r="402" spans="1:12" s="66" customFormat="1">
      <c r="A402" s="72"/>
      <c r="B402" s="75"/>
      <c r="D402" s="76"/>
      <c r="K402" s="71"/>
      <c r="L402" s="72"/>
    </row>
    <row r="403" spans="1:12" s="66" customFormat="1">
      <c r="A403" s="72"/>
      <c r="B403" s="75"/>
      <c r="D403" s="76"/>
      <c r="K403" s="71"/>
      <c r="L403" s="72"/>
    </row>
    <row r="404" spans="1:12" s="66" customFormat="1">
      <c r="A404" s="72"/>
      <c r="B404" s="75"/>
      <c r="D404" s="76"/>
      <c r="K404" s="71"/>
      <c r="L404" s="72"/>
    </row>
    <row r="405" spans="1:12" s="66" customFormat="1">
      <c r="A405" s="72"/>
      <c r="B405" s="75"/>
      <c r="D405" s="76"/>
      <c r="K405" s="71"/>
      <c r="L405" s="72"/>
    </row>
    <row r="406" spans="1:12" s="66" customFormat="1">
      <c r="A406" s="72"/>
      <c r="B406" s="75"/>
      <c r="D406" s="76"/>
      <c r="K406" s="71"/>
      <c r="L406" s="72"/>
    </row>
    <row r="407" spans="1:12" s="66" customFormat="1">
      <c r="A407" s="72"/>
      <c r="B407" s="75"/>
      <c r="D407" s="76"/>
      <c r="K407" s="71"/>
      <c r="L407" s="72"/>
    </row>
    <row r="408" spans="1:12" s="66" customFormat="1">
      <c r="A408" s="72"/>
      <c r="B408" s="75"/>
      <c r="D408" s="76"/>
      <c r="K408" s="71"/>
      <c r="L408" s="72"/>
    </row>
    <row r="409" spans="1:12" s="66" customFormat="1">
      <c r="A409" s="72"/>
      <c r="B409" s="75"/>
      <c r="D409" s="76"/>
      <c r="K409" s="71"/>
      <c r="L409" s="72"/>
    </row>
    <row r="410" spans="1:12" s="66" customFormat="1">
      <c r="A410" s="72"/>
      <c r="B410" s="75"/>
      <c r="D410" s="76"/>
      <c r="K410" s="71"/>
      <c r="L410" s="72"/>
    </row>
    <row r="411" spans="1:12" s="66" customFormat="1">
      <c r="A411" s="72"/>
      <c r="B411" s="75"/>
      <c r="D411" s="76"/>
      <c r="K411" s="71"/>
      <c r="L411" s="72"/>
    </row>
    <row r="412" spans="1:12" s="66" customFormat="1">
      <c r="A412" s="72"/>
      <c r="B412" s="75"/>
      <c r="D412" s="76"/>
      <c r="K412" s="71"/>
      <c r="L412" s="72"/>
    </row>
    <row r="413" spans="1:12" s="66" customFormat="1">
      <c r="A413" s="72"/>
      <c r="B413" s="75"/>
      <c r="D413" s="76"/>
      <c r="K413" s="71"/>
      <c r="L413" s="72"/>
    </row>
    <row r="414" spans="1:12" s="66" customFormat="1">
      <c r="A414" s="72"/>
      <c r="B414" s="75"/>
      <c r="D414" s="76"/>
      <c r="K414" s="71"/>
      <c r="L414" s="72"/>
    </row>
    <row r="415" spans="1:12" s="66" customFormat="1">
      <c r="A415" s="72"/>
      <c r="B415" s="75"/>
      <c r="D415" s="76"/>
      <c r="K415" s="71"/>
      <c r="L415" s="72"/>
    </row>
    <row r="416" spans="1:12" s="66" customFormat="1">
      <c r="A416" s="72"/>
      <c r="B416" s="75"/>
      <c r="D416" s="76"/>
      <c r="K416" s="71"/>
      <c r="L416" s="72"/>
    </row>
    <row r="417" spans="1:12" s="66" customFormat="1">
      <c r="A417" s="72"/>
      <c r="B417" s="75"/>
      <c r="D417" s="76"/>
      <c r="K417" s="71"/>
      <c r="L417" s="72"/>
    </row>
    <row r="418" spans="1:12" s="66" customFormat="1">
      <c r="A418" s="72"/>
      <c r="B418" s="75"/>
      <c r="D418" s="76"/>
      <c r="K418" s="71"/>
      <c r="L418" s="72"/>
    </row>
    <row r="419" spans="1:12" s="66" customFormat="1">
      <c r="A419" s="72"/>
      <c r="B419" s="75"/>
      <c r="D419" s="76"/>
      <c r="K419" s="71"/>
      <c r="L419" s="72"/>
    </row>
    <row r="420" spans="1:12" s="66" customFormat="1">
      <c r="A420" s="72"/>
      <c r="B420" s="75"/>
      <c r="D420" s="76"/>
      <c r="K420" s="71"/>
      <c r="L420" s="72"/>
    </row>
    <row r="421" spans="1:12" s="66" customFormat="1">
      <c r="A421" s="72"/>
      <c r="B421" s="75"/>
      <c r="D421" s="76"/>
      <c r="K421" s="71"/>
      <c r="L421" s="72"/>
    </row>
    <row r="422" spans="1:12" s="66" customFormat="1">
      <c r="A422" s="72"/>
      <c r="B422" s="75"/>
      <c r="D422" s="76"/>
      <c r="K422" s="71"/>
      <c r="L422" s="72"/>
    </row>
    <row r="423" spans="1:12" s="66" customFormat="1">
      <c r="A423" s="72"/>
      <c r="B423" s="75"/>
      <c r="D423" s="76"/>
      <c r="K423" s="71"/>
      <c r="L423" s="72"/>
    </row>
    <row r="424" spans="1:12" s="66" customFormat="1">
      <c r="A424" s="72"/>
      <c r="B424" s="75"/>
      <c r="D424" s="76"/>
      <c r="K424" s="71"/>
      <c r="L424" s="72"/>
    </row>
    <row r="425" spans="1:12" s="66" customFormat="1">
      <c r="A425" s="72"/>
      <c r="B425" s="75"/>
      <c r="D425" s="76"/>
      <c r="K425" s="71"/>
      <c r="L425" s="72"/>
    </row>
    <row r="426" spans="1:12" s="66" customFormat="1">
      <c r="A426" s="72"/>
      <c r="B426" s="75"/>
      <c r="D426" s="76"/>
      <c r="K426" s="71"/>
      <c r="L426" s="72"/>
    </row>
    <row r="427" spans="1:12" s="66" customFormat="1">
      <c r="A427" s="72"/>
      <c r="B427" s="75"/>
      <c r="D427" s="76"/>
      <c r="K427" s="71"/>
      <c r="L427" s="72"/>
    </row>
  </sheetData>
  <mergeCells count="33">
    <mergeCell ref="L34:L36"/>
    <mergeCell ref="L37:L40"/>
    <mergeCell ref="A34:A36"/>
    <mergeCell ref="A37:A40"/>
    <mergeCell ref="B1:B5"/>
    <mergeCell ref="C1:C5"/>
    <mergeCell ref="D1:D5"/>
    <mergeCell ref="B38:D38"/>
    <mergeCell ref="B39:D39"/>
    <mergeCell ref="B37:D37"/>
    <mergeCell ref="A6:A12"/>
    <mergeCell ref="B40:D40"/>
    <mergeCell ref="A1:A5"/>
    <mergeCell ref="A13:A21"/>
    <mergeCell ref="A22:A28"/>
    <mergeCell ref="A29:A30"/>
    <mergeCell ref="A31:A33"/>
    <mergeCell ref="K1:K5"/>
    <mergeCell ref="L2:L5"/>
    <mergeCell ref="L13:L21"/>
    <mergeCell ref="L22:L28"/>
    <mergeCell ref="E42:J42"/>
    <mergeCell ref="E38:G38"/>
    <mergeCell ref="H38:J38"/>
    <mergeCell ref="E1:G1"/>
    <mergeCell ref="H1:J1"/>
    <mergeCell ref="E5:G5"/>
    <mergeCell ref="H5:J5"/>
    <mergeCell ref="L6:L12"/>
    <mergeCell ref="E40:G40"/>
    <mergeCell ref="H40:J40"/>
    <mergeCell ref="L29:L30"/>
    <mergeCell ref="L31:L33"/>
  </mergeCells>
  <pageMargins left="0.511811024" right="0.511811024" top="0.78740157499999996" bottom="0.78740157499999996" header="0.31496062000000002" footer="0.31496062000000002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zoomScale="60" zoomScaleNormal="60" workbookViewId="0">
      <selection activeCell="C7" sqref="C7"/>
    </sheetView>
  </sheetViews>
  <sheetFormatPr defaultColWidth="9" defaultRowHeight="15"/>
  <cols>
    <col min="1" max="1" width="18" customWidth="1"/>
    <col min="2" max="2" width="12.5703125" customWidth="1"/>
    <col min="3" max="3" width="15.140625" customWidth="1"/>
    <col min="4" max="4" width="16.140625" customWidth="1"/>
    <col min="5" max="5" width="18" customWidth="1"/>
    <col min="6" max="6" width="15" customWidth="1"/>
    <col min="7" max="7" width="12.5703125" customWidth="1"/>
    <col min="11" max="11" width="18.7109375" customWidth="1"/>
    <col min="12" max="12" width="12.42578125" customWidth="1"/>
    <col min="13" max="13" width="3.28515625" customWidth="1"/>
    <col min="14" max="14" width="18.7109375" customWidth="1"/>
    <col min="15" max="15" width="12.85546875" customWidth="1"/>
    <col min="16" max="16" width="3.28515625" customWidth="1"/>
    <col min="17" max="17" width="19" customWidth="1"/>
    <col min="18" max="18" width="13.7109375" customWidth="1"/>
  </cols>
  <sheetData>
    <row r="1" spans="1:9">
      <c r="A1" s="133" t="s">
        <v>32</v>
      </c>
      <c r="B1" s="134"/>
      <c r="C1" s="134"/>
      <c r="D1" s="134" t="s">
        <v>33</v>
      </c>
      <c r="E1" s="134"/>
      <c r="F1" s="134"/>
      <c r="G1" s="135"/>
      <c r="H1" s="1"/>
      <c r="I1" s="57"/>
    </row>
    <row r="2" spans="1:9">
      <c r="A2" s="2" t="s">
        <v>34</v>
      </c>
      <c r="B2" s="3" t="s">
        <v>35</v>
      </c>
      <c r="C2" s="3" t="s">
        <v>36</v>
      </c>
      <c r="D2" s="3" t="s">
        <v>34</v>
      </c>
      <c r="E2" s="3" t="s">
        <v>37</v>
      </c>
      <c r="F2" s="3" t="s">
        <v>38</v>
      </c>
      <c r="G2" s="136"/>
      <c r="H2" s="4"/>
      <c r="I2" s="58"/>
    </row>
    <row r="3" spans="1:9">
      <c r="A3" s="5" t="s">
        <v>39</v>
      </c>
      <c r="B3" s="6">
        <v>0.33</v>
      </c>
      <c r="C3" s="7">
        <f>(A12+C12)</f>
        <v>3.5688</v>
      </c>
      <c r="D3" s="8" t="s">
        <v>40</v>
      </c>
      <c r="E3" s="6">
        <v>0</v>
      </c>
      <c r="F3" s="7">
        <f>E3+H12</f>
        <v>4.1772</v>
      </c>
      <c r="G3" s="4"/>
      <c r="H3" s="4"/>
      <c r="I3" s="58"/>
    </row>
    <row r="4" spans="1:9">
      <c r="A4" s="9" t="s">
        <v>41</v>
      </c>
      <c r="B4" s="7">
        <f>C3+0.01</f>
        <v>3.5787999999999998</v>
      </c>
      <c r="C4" s="7">
        <f>B5-0.01</f>
        <v>12.030599999999998</v>
      </c>
      <c r="D4" s="10" t="s">
        <v>42</v>
      </c>
      <c r="E4" s="7">
        <f>F3+0.01</f>
        <v>4.1871999999999998</v>
      </c>
      <c r="F4" s="7">
        <f>E5-0.01</f>
        <v>15.306400000000002</v>
      </c>
      <c r="G4" s="4"/>
      <c r="H4" s="4"/>
      <c r="I4" s="58"/>
    </row>
    <row r="5" spans="1:9">
      <c r="A5" s="11" t="s">
        <v>43</v>
      </c>
      <c r="B5" s="7">
        <f>(B7+B3)/2</f>
        <v>12.040599999999998</v>
      </c>
      <c r="C5" s="7">
        <f>(C7+C3)/2</f>
        <v>15.279399999999999</v>
      </c>
      <c r="D5" s="12" t="s">
        <v>44</v>
      </c>
      <c r="E5" s="7">
        <f>(E7+E3)/2</f>
        <v>15.316400000000002</v>
      </c>
      <c r="F5" s="7">
        <f>(F7+F3)/2</f>
        <v>19.493600000000001</v>
      </c>
      <c r="G5" s="4"/>
      <c r="H5" s="4"/>
      <c r="I5" s="58"/>
    </row>
    <row r="6" spans="1:9">
      <c r="A6" s="13" t="s">
        <v>45</v>
      </c>
      <c r="B6" s="7">
        <f>C5+0.01</f>
        <v>15.289399999999999</v>
      </c>
      <c r="C6" s="7">
        <f>B7-0.01</f>
        <v>23.741199999999996</v>
      </c>
      <c r="D6" s="14" t="s">
        <v>46</v>
      </c>
      <c r="E6" s="7">
        <f>F5+0.01</f>
        <v>19.503600000000002</v>
      </c>
      <c r="F6" s="7">
        <f>E7-0.01</f>
        <v>30.622800000000002</v>
      </c>
      <c r="G6" s="15"/>
      <c r="H6" s="15"/>
      <c r="I6" s="58"/>
    </row>
    <row r="7" spans="1:9">
      <c r="A7" s="16" t="s">
        <v>47</v>
      </c>
      <c r="B7" s="7">
        <f>C7-C12</f>
        <v>23.751199999999997</v>
      </c>
      <c r="C7" s="6">
        <v>26.99</v>
      </c>
      <c r="D7" s="17" t="s">
        <v>48</v>
      </c>
      <c r="E7" s="7">
        <f>F7-F3</f>
        <v>30.632800000000003</v>
      </c>
      <c r="F7" s="6">
        <v>34.81</v>
      </c>
      <c r="G7" s="15"/>
      <c r="H7" s="15"/>
      <c r="I7" s="58"/>
    </row>
    <row r="8" spans="1:9">
      <c r="A8" s="18"/>
      <c r="I8" s="58"/>
    </row>
    <row r="9" spans="1:9">
      <c r="A9" s="18"/>
      <c r="I9" s="58"/>
    </row>
    <row r="10" spans="1:9">
      <c r="A10" s="18"/>
      <c r="I10" s="58"/>
    </row>
    <row r="11" spans="1:9">
      <c r="A11" s="18"/>
      <c r="I11" s="58"/>
    </row>
    <row r="12" spans="1:9">
      <c r="A12" s="19">
        <v>0.33</v>
      </c>
      <c r="B12" s="20"/>
      <c r="C12" s="21">
        <f>A16*D12</f>
        <v>3.2387999999999999</v>
      </c>
      <c r="D12" s="22">
        <v>0.12</v>
      </c>
      <c r="E12" s="23"/>
      <c r="F12" s="24">
        <v>0</v>
      </c>
      <c r="G12" s="23"/>
      <c r="H12" s="21">
        <f>F16*I12</f>
        <v>4.1772</v>
      </c>
      <c r="I12" s="59">
        <v>0.12</v>
      </c>
    </row>
    <row r="13" spans="1:9">
      <c r="A13" s="25">
        <f>(A14+A12)/2</f>
        <v>6.9949999999999992</v>
      </c>
      <c r="B13" s="21">
        <f>(A13+A12)/2</f>
        <v>3.6624999999999996</v>
      </c>
      <c r="C13" s="21"/>
      <c r="D13" s="20"/>
      <c r="E13" s="23"/>
      <c r="F13" s="21">
        <f>(F14+F12)/2</f>
        <v>8.7025000000000006</v>
      </c>
      <c r="G13" s="26">
        <f>(F13+F12)/2</f>
        <v>4.3512500000000003</v>
      </c>
      <c r="H13" s="21"/>
      <c r="I13" s="60"/>
    </row>
    <row r="14" spans="1:9">
      <c r="A14" s="25">
        <f>(A16+A12)/2</f>
        <v>13.659999999999998</v>
      </c>
      <c r="B14" s="21">
        <f>(A14+A13)/2</f>
        <v>10.327499999999999</v>
      </c>
      <c r="C14" s="21"/>
      <c r="D14" s="20"/>
      <c r="E14" s="23"/>
      <c r="F14" s="21">
        <f>(F16+F12)/2</f>
        <v>17.405000000000001</v>
      </c>
      <c r="G14" s="26">
        <f>(F14+F13)/2</f>
        <v>13.053750000000001</v>
      </c>
      <c r="H14" s="21"/>
      <c r="I14" s="60"/>
    </row>
    <row r="15" spans="1:9">
      <c r="A15" s="25">
        <f>(A16+A14)/2</f>
        <v>20.324999999999999</v>
      </c>
      <c r="B15" s="21">
        <f>(A15+A14)/2</f>
        <v>16.9925</v>
      </c>
      <c r="C15" s="21"/>
      <c r="D15" s="22"/>
      <c r="E15" s="23"/>
      <c r="F15" s="21">
        <f>(F16+F14)/2</f>
        <v>26.107500000000002</v>
      </c>
      <c r="G15" s="26">
        <f>(F15+F14)/2</f>
        <v>21.756250000000001</v>
      </c>
      <c r="H15" s="21"/>
      <c r="I15" s="60"/>
    </row>
    <row r="16" spans="1:9">
      <c r="A16" s="27">
        <v>26.99</v>
      </c>
      <c r="B16" s="28">
        <f>(A16+A15)/2</f>
        <v>23.657499999999999</v>
      </c>
      <c r="C16" s="28">
        <f>A16*D16</f>
        <v>3.2387999999999999</v>
      </c>
      <c r="D16" s="29">
        <v>0.12</v>
      </c>
      <c r="E16" s="30"/>
      <c r="F16" s="31">
        <v>34.81</v>
      </c>
      <c r="G16" s="32">
        <f>(F16+F15)/2</f>
        <v>30.458750000000002</v>
      </c>
      <c r="H16" s="28">
        <f>F16*I16</f>
        <v>4.1772</v>
      </c>
      <c r="I16" s="61">
        <v>0.12</v>
      </c>
    </row>
    <row r="17" spans="1:18">
      <c r="A17" s="33"/>
      <c r="B17" s="34"/>
      <c r="C17" s="34"/>
      <c r="D17" s="35"/>
      <c r="F17" s="33"/>
      <c r="G17" s="36"/>
      <c r="H17" s="34"/>
      <c r="I17" s="35"/>
    </row>
    <row r="18" spans="1:18">
      <c r="A18" s="33"/>
      <c r="B18" s="34"/>
      <c r="C18" s="34"/>
      <c r="D18" s="35"/>
      <c r="F18" s="33"/>
      <c r="G18" s="36"/>
      <c r="H18" s="34"/>
      <c r="I18" s="35"/>
    </row>
    <row r="20" spans="1:18">
      <c r="A20" s="37"/>
      <c r="B20" s="38"/>
      <c r="C20" s="39"/>
      <c r="D20" s="40"/>
      <c r="E20" s="40"/>
      <c r="F20" s="40"/>
      <c r="G20" s="38"/>
      <c r="H20" s="40"/>
      <c r="I20" s="57"/>
    </row>
    <row r="21" spans="1:18">
      <c r="A21" s="18"/>
      <c r="C21" s="36"/>
      <c r="D21" s="36"/>
      <c r="F21" s="36"/>
      <c r="G21" s="41"/>
      <c r="H21" s="36"/>
      <c r="I21" s="58"/>
    </row>
    <row r="22" spans="1:18">
      <c r="A22" s="18" t="s">
        <v>49</v>
      </c>
      <c r="E22" t="s">
        <v>50</v>
      </c>
      <c r="G22" s="36"/>
      <c r="I22" s="58"/>
      <c r="Q22" s="166"/>
      <c r="R22" s="167"/>
    </row>
    <row r="23" spans="1:18">
      <c r="A23" s="18"/>
      <c r="I23" s="58"/>
      <c r="Q23" s="168"/>
      <c r="R23" s="169"/>
    </row>
    <row r="24" spans="1:18">
      <c r="A24" s="23" t="s">
        <v>55</v>
      </c>
      <c r="B24" s="91" t="s">
        <v>164</v>
      </c>
      <c r="E24" s="23" t="s">
        <v>56</v>
      </c>
      <c r="F24" s="91" t="s">
        <v>52</v>
      </c>
      <c r="I24" s="58"/>
      <c r="Q24" s="168"/>
      <c r="R24" s="169"/>
    </row>
    <row r="25" spans="1:18">
      <c r="A25" s="23" t="s">
        <v>53</v>
      </c>
      <c r="B25" s="42" t="s">
        <v>54</v>
      </c>
      <c r="E25" s="23" t="s">
        <v>53</v>
      </c>
      <c r="F25" s="42" t="s">
        <v>54</v>
      </c>
      <c r="I25" s="58"/>
      <c r="Q25" s="168"/>
      <c r="R25" s="169"/>
    </row>
    <row r="26" spans="1:18" ht="15.75">
      <c r="A26" s="43" t="s">
        <v>39</v>
      </c>
      <c r="B26" s="92" t="s">
        <v>167</v>
      </c>
      <c r="E26" s="43" t="s">
        <v>40</v>
      </c>
      <c r="F26" s="92" t="s">
        <v>57</v>
      </c>
      <c r="I26" s="58"/>
      <c r="M26" s="62"/>
      <c r="Q26" s="168"/>
      <c r="R26" s="169"/>
    </row>
    <row r="27" spans="1:18">
      <c r="A27" s="44" t="s">
        <v>41</v>
      </c>
      <c r="B27" s="92" t="s">
        <v>168</v>
      </c>
      <c r="E27" s="44" t="s">
        <v>42</v>
      </c>
      <c r="F27" s="92" t="s">
        <v>137</v>
      </c>
      <c r="I27" s="58"/>
      <c r="Q27" s="168"/>
      <c r="R27" s="169"/>
    </row>
    <row r="28" spans="1:18">
      <c r="A28" s="45" t="s">
        <v>43</v>
      </c>
      <c r="B28" s="92" t="s">
        <v>169</v>
      </c>
      <c r="E28" s="45" t="s">
        <v>43</v>
      </c>
      <c r="F28" s="92" t="s">
        <v>138</v>
      </c>
      <c r="I28" s="58"/>
      <c r="Q28" s="170"/>
      <c r="R28" s="171"/>
    </row>
    <row r="29" spans="1:18">
      <c r="A29" s="46" t="s">
        <v>45</v>
      </c>
      <c r="B29" s="92" t="s">
        <v>170</v>
      </c>
      <c r="E29" s="46" t="s">
        <v>46</v>
      </c>
      <c r="F29" s="92" t="s">
        <v>139</v>
      </c>
      <c r="I29" s="58"/>
    </row>
    <row r="30" spans="1:18">
      <c r="A30" s="47" t="s">
        <v>47</v>
      </c>
      <c r="B30" s="92" t="s">
        <v>171</v>
      </c>
      <c r="E30" s="47" t="s">
        <v>48</v>
      </c>
      <c r="F30" s="92" t="s">
        <v>140</v>
      </c>
      <c r="I30" s="58"/>
    </row>
    <row r="31" spans="1:18">
      <c r="A31" s="18"/>
      <c r="B31" s="48"/>
      <c r="F31" s="48"/>
      <c r="I31" s="58"/>
    </row>
    <row r="32" spans="1:18">
      <c r="A32" s="18"/>
      <c r="B32" s="48"/>
      <c r="F32" s="48"/>
      <c r="I32" s="58"/>
    </row>
    <row r="33" spans="1:11">
      <c r="A33" s="23" t="s">
        <v>59</v>
      </c>
      <c r="B33" s="42">
        <v>30</v>
      </c>
      <c r="E33" s="23" t="s">
        <v>60</v>
      </c>
      <c r="F33" s="91" t="s">
        <v>135</v>
      </c>
      <c r="I33" s="58"/>
    </row>
    <row r="34" spans="1:11">
      <c r="A34" s="23" t="s">
        <v>53</v>
      </c>
      <c r="B34" s="42" t="s">
        <v>54</v>
      </c>
      <c r="E34" s="23" t="s">
        <v>53</v>
      </c>
      <c r="F34" s="42" t="s">
        <v>54</v>
      </c>
      <c r="I34" s="58"/>
    </row>
    <row r="35" spans="1:11">
      <c r="A35" s="43" t="s">
        <v>39</v>
      </c>
      <c r="B35" s="20" t="s">
        <v>62</v>
      </c>
      <c r="E35" s="43" t="s">
        <v>40</v>
      </c>
      <c r="F35" s="92" t="s">
        <v>141</v>
      </c>
      <c r="I35" s="58"/>
    </row>
    <row r="36" spans="1:11">
      <c r="A36" s="44" t="s">
        <v>41</v>
      </c>
      <c r="B36" s="20" t="s">
        <v>64</v>
      </c>
      <c r="E36" s="44" t="s">
        <v>42</v>
      </c>
      <c r="F36" s="92" t="s">
        <v>142</v>
      </c>
      <c r="I36" s="58"/>
    </row>
    <row r="37" spans="1:11">
      <c r="A37" s="45" t="s">
        <v>43</v>
      </c>
      <c r="B37" s="20" t="s">
        <v>66</v>
      </c>
      <c r="E37" s="45" t="s">
        <v>43</v>
      </c>
      <c r="F37" s="92" t="s">
        <v>143</v>
      </c>
      <c r="I37" s="58"/>
      <c r="K37" s="63"/>
    </row>
    <row r="38" spans="1:11">
      <c r="A38" s="46" t="s">
        <v>45</v>
      </c>
      <c r="B38" s="20" t="s">
        <v>68</v>
      </c>
      <c r="E38" s="46" t="s">
        <v>46</v>
      </c>
      <c r="F38" s="92" t="s">
        <v>144</v>
      </c>
      <c r="I38" s="58"/>
    </row>
    <row r="39" spans="1:11">
      <c r="A39" s="47" t="s">
        <v>47</v>
      </c>
      <c r="B39" s="20" t="s">
        <v>70</v>
      </c>
      <c r="E39" s="47" t="s">
        <v>48</v>
      </c>
      <c r="F39" s="92" t="s">
        <v>145</v>
      </c>
      <c r="I39" s="58"/>
    </row>
    <row r="40" spans="1:11">
      <c r="A40" s="18"/>
      <c r="B40" s="48"/>
      <c r="F40" s="48"/>
      <c r="I40" s="58"/>
    </row>
    <row r="41" spans="1:11">
      <c r="A41" s="18"/>
      <c r="B41" s="48"/>
      <c r="F41" s="48"/>
      <c r="I41" s="58"/>
    </row>
    <row r="42" spans="1:11">
      <c r="A42" s="23" t="s">
        <v>72</v>
      </c>
      <c r="B42" s="42">
        <v>11</v>
      </c>
      <c r="E42" s="23" t="s">
        <v>51</v>
      </c>
      <c r="F42" s="91" t="s">
        <v>136</v>
      </c>
      <c r="I42" s="58"/>
    </row>
    <row r="43" spans="1:11">
      <c r="A43" s="23" t="s">
        <v>53</v>
      </c>
      <c r="B43" s="42" t="s">
        <v>54</v>
      </c>
      <c r="E43" s="23" t="s">
        <v>53</v>
      </c>
      <c r="F43" s="42" t="s">
        <v>54</v>
      </c>
      <c r="I43" s="58"/>
    </row>
    <row r="44" spans="1:11">
      <c r="A44" s="43" t="s">
        <v>39</v>
      </c>
      <c r="B44" s="20" t="s">
        <v>63</v>
      </c>
      <c r="E44" s="43" t="s">
        <v>40</v>
      </c>
      <c r="F44" s="92" t="s">
        <v>146</v>
      </c>
      <c r="I44" s="58"/>
    </row>
    <row r="45" spans="1:11">
      <c r="A45" s="44" t="s">
        <v>41</v>
      </c>
      <c r="B45" s="20" t="s">
        <v>65</v>
      </c>
      <c r="E45" s="44" t="s">
        <v>42</v>
      </c>
      <c r="F45" s="92" t="s">
        <v>147</v>
      </c>
      <c r="I45" s="58"/>
    </row>
    <row r="46" spans="1:11">
      <c r="A46" s="45" t="s">
        <v>43</v>
      </c>
      <c r="B46" s="20" t="s">
        <v>67</v>
      </c>
      <c r="E46" s="45" t="s">
        <v>43</v>
      </c>
      <c r="F46" s="92" t="s">
        <v>148</v>
      </c>
      <c r="I46" s="58"/>
    </row>
    <row r="47" spans="1:11">
      <c r="A47" s="46" t="s">
        <v>45</v>
      </c>
      <c r="B47" s="20" t="s">
        <v>69</v>
      </c>
      <c r="E47" s="46" t="s">
        <v>46</v>
      </c>
      <c r="F47" s="92" t="s">
        <v>149</v>
      </c>
      <c r="I47" s="58"/>
    </row>
    <row r="48" spans="1:11">
      <c r="A48" s="47" t="s">
        <v>47</v>
      </c>
      <c r="B48" s="20" t="s">
        <v>71</v>
      </c>
      <c r="E48" s="47" t="s">
        <v>48</v>
      </c>
      <c r="F48" s="92" t="s">
        <v>150</v>
      </c>
      <c r="I48" s="58"/>
    </row>
    <row r="49" spans="1:9">
      <c r="A49" s="49"/>
      <c r="B49" s="50"/>
      <c r="C49" s="50"/>
      <c r="D49" s="50"/>
      <c r="E49" s="50"/>
      <c r="F49" s="50"/>
      <c r="G49" s="50"/>
      <c r="H49" s="50"/>
      <c r="I49" s="64"/>
    </row>
    <row r="53" spans="1:9">
      <c r="A53" s="137" t="s">
        <v>73</v>
      </c>
      <c r="B53" s="138"/>
      <c r="C53" s="139" t="s">
        <v>33</v>
      </c>
      <c r="D53" s="140"/>
      <c r="E53" s="140"/>
      <c r="F53" s="140"/>
      <c r="G53" s="141"/>
      <c r="H53" s="40"/>
      <c r="I53" s="57"/>
    </row>
    <row r="54" spans="1:9" ht="25.5">
      <c r="A54" s="137" t="s">
        <v>74</v>
      </c>
      <c r="B54" s="138"/>
      <c r="C54" s="51" t="s">
        <v>40</v>
      </c>
      <c r="D54" s="51" t="s">
        <v>42</v>
      </c>
      <c r="E54" s="51" t="s">
        <v>44</v>
      </c>
      <c r="F54" s="51" t="s">
        <v>46</v>
      </c>
      <c r="G54" s="51" t="s">
        <v>75</v>
      </c>
      <c r="I54" s="58"/>
    </row>
    <row r="55" spans="1:9">
      <c r="A55" s="130" t="s">
        <v>32</v>
      </c>
      <c r="B55" s="51" t="s">
        <v>39</v>
      </c>
      <c r="C55" s="52" t="s">
        <v>76</v>
      </c>
      <c r="D55" s="53" t="s">
        <v>77</v>
      </c>
      <c r="E55" s="53" t="s">
        <v>77</v>
      </c>
      <c r="F55" s="54" t="s">
        <v>78</v>
      </c>
      <c r="G55" s="54" t="s">
        <v>78</v>
      </c>
      <c r="I55" s="58"/>
    </row>
    <row r="56" spans="1:9">
      <c r="A56" s="131"/>
      <c r="B56" s="51" t="s">
        <v>41</v>
      </c>
      <c r="C56" s="52" t="s">
        <v>76</v>
      </c>
      <c r="D56" s="53" t="s">
        <v>77</v>
      </c>
      <c r="E56" s="54" t="s">
        <v>78</v>
      </c>
      <c r="F56" s="55" t="s">
        <v>79</v>
      </c>
      <c r="G56" s="55" t="s">
        <v>79</v>
      </c>
      <c r="I56" s="58"/>
    </row>
    <row r="57" spans="1:9">
      <c r="A57" s="131"/>
      <c r="B57" s="51" t="s">
        <v>43</v>
      </c>
      <c r="C57" s="53" t="s">
        <v>77</v>
      </c>
      <c r="D57" s="53" t="s">
        <v>77</v>
      </c>
      <c r="E57" s="54" t="s">
        <v>78</v>
      </c>
      <c r="F57" s="55" t="s">
        <v>79</v>
      </c>
      <c r="G57" s="55" t="s">
        <v>79</v>
      </c>
      <c r="I57" s="58"/>
    </row>
    <row r="58" spans="1:9">
      <c r="A58" s="131"/>
      <c r="B58" s="51" t="s">
        <v>45</v>
      </c>
      <c r="C58" s="53" t="s">
        <v>77</v>
      </c>
      <c r="D58" s="54" t="s">
        <v>78</v>
      </c>
      <c r="E58" s="55" t="s">
        <v>79</v>
      </c>
      <c r="F58" s="55" t="s">
        <v>79</v>
      </c>
      <c r="G58" s="56" t="s">
        <v>80</v>
      </c>
      <c r="I58" s="58"/>
    </row>
    <row r="59" spans="1:9">
      <c r="A59" s="132"/>
      <c r="B59" s="51" t="s">
        <v>47</v>
      </c>
      <c r="C59" s="54" t="s">
        <v>78</v>
      </c>
      <c r="D59" s="54" t="s">
        <v>78</v>
      </c>
      <c r="E59" s="55" t="s">
        <v>79</v>
      </c>
      <c r="F59" s="56" t="s">
        <v>80</v>
      </c>
      <c r="G59" s="56" t="s">
        <v>80</v>
      </c>
      <c r="H59" s="50"/>
      <c r="I59" s="64"/>
    </row>
  </sheetData>
  <mergeCells count="8">
    <mergeCell ref="Q22:R28"/>
    <mergeCell ref="A55:A59"/>
    <mergeCell ref="G1:G2"/>
    <mergeCell ref="A1:C1"/>
    <mergeCell ref="D1:F1"/>
    <mergeCell ref="A53:B53"/>
    <mergeCell ref="C53:G53"/>
    <mergeCell ref="A54:B54"/>
  </mergeCells>
  <pageMargins left="0.511811024" right="0.511811024" top="0.78740157499999996" bottom="0.78740157499999996" header="0.31496062000000002" footer="0.31496062000000002"/>
  <pageSetup paperSize="9" scale="58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10 A 14 ANOS</vt:lpstr>
      <vt:lpstr>MATRIZ 10-14</vt:lpstr>
      <vt:lpstr>6 A 9 ANOS</vt:lpstr>
      <vt:lpstr>MATRIZ 6-9</vt:lpstr>
      <vt:lpstr>0 A 5 ANOS</vt:lpstr>
      <vt:lpstr>MATRIZ 0-5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PCWIN11</dc:creator>
  <cp:lastModifiedBy>CEL-ALBERTO</cp:lastModifiedBy>
  <cp:lastPrinted>2025-11-05T21:52:47Z</cp:lastPrinted>
  <dcterms:created xsi:type="dcterms:W3CDTF">2023-09-16T21:31:00Z</dcterms:created>
  <dcterms:modified xsi:type="dcterms:W3CDTF">2025-11-06T11:17:08Z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39D647D2B67041D58B23AFBED0B7EC8C_13</vt:lpwstr>
  </property>
  <property fmtid="{D5CDD505-2E9C-101B-9397-08002B2CF9AE}" pid="3" name="KSOProductBuildVer">
    <vt:lpwstr>1046-12.2.0.23131</vt:lpwstr>
  </property>
</Properties>
</file>